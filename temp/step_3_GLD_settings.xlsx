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ungera2\Downloads\"/>
    </mc:Choice>
  </mc:AlternateContent>
  <xr:revisionPtr revIDLastSave="0" documentId="13_ncr:1_{C955010F-B46F-4CE2-9BB6-A8DC5DB02103}" xr6:coauthVersionLast="47" xr6:coauthVersionMax="47" xr10:uidLastSave="{00000000-0000-0000-0000-000000000000}"/>
  <bookViews>
    <workbookView xWindow="-119" yWindow="-119" windowWidth="27806" windowHeight="16271" xr2:uid="{00000000-000D-0000-FFFF-FFFF00000000}"/>
  </bookViews>
  <sheets>
    <sheet name="PATCH_SETTINGS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1" l="1"/>
  <c r="F74" i="1"/>
  <c r="F63" i="1"/>
  <c r="F41" i="1"/>
  <c r="F52" i="1"/>
  <c r="F39" i="1"/>
  <c r="F35" i="1"/>
  <c r="F73" i="1"/>
  <c r="F51" i="1"/>
  <c r="F6" i="1"/>
  <c r="F72" i="1"/>
  <c r="F61" i="1"/>
  <c r="F50" i="1"/>
  <c r="F13" i="1"/>
  <c r="F62" i="1"/>
  <c r="F7" i="1"/>
  <c r="F9" i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F33" i="1" l="1"/>
  <c r="D50" i="1"/>
  <c r="D51" i="1" s="1"/>
  <c r="D52" i="1" s="1"/>
  <c r="D54" i="1" s="1"/>
  <c r="D53" i="1" s="1"/>
  <c r="D55" i="1" s="1"/>
  <c r="D56" i="1" s="1"/>
  <c r="D57" i="1" s="1"/>
  <c r="D58" i="1" s="1"/>
  <c r="D59" i="1" s="1"/>
  <c r="D60" i="1" s="1"/>
  <c r="D40" i="1"/>
  <c r="D41" i="1" s="1"/>
  <c r="D43" i="1" s="1"/>
  <c r="D42" i="1" s="1"/>
  <c r="D44" i="1" s="1"/>
  <c r="D45" i="1" s="1"/>
  <c r="D46" i="1" s="1"/>
  <c r="D47" i="1" s="1"/>
  <c r="D48" i="1" s="1"/>
  <c r="D49" i="1" s="1"/>
  <c r="A3" i="1"/>
  <c r="A4" i="1" s="1"/>
  <c r="A5" i="1" s="1"/>
  <c r="A6" i="1" s="1"/>
  <c r="A7" i="1" s="1"/>
  <c r="A8" i="1" l="1"/>
  <c r="D61" i="1"/>
  <c r="D62" i="1" s="1"/>
  <c r="D63" i="1" s="1"/>
  <c r="D65" i="1" s="1"/>
  <c r="D64" i="1" s="1"/>
  <c r="D66" i="1" s="1"/>
  <c r="D67" i="1" s="1"/>
  <c r="D68" i="1" s="1"/>
  <c r="D69" i="1" s="1"/>
  <c r="D70" i="1" s="1"/>
  <c r="D71" i="1" s="1"/>
  <c r="D72" i="1" l="1"/>
  <c r="D73" i="1" s="1"/>
  <c r="D74" i="1" s="1"/>
  <c r="D76" i="1" s="1"/>
  <c r="D75" i="1" s="1"/>
  <c r="D77" i="1" s="1"/>
  <c r="D78" i="1" s="1"/>
  <c r="D79" i="1" s="1"/>
  <c r="D80" i="1" s="1"/>
  <c r="D81" i="1" s="1"/>
  <c r="D82" i="1" s="1"/>
  <c r="D83" i="1" l="1"/>
  <c r="D84" i="1" s="1"/>
  <c r="D85" i="1" s="1"/>
  <c r="D87" i="1" s="1"/>
  <c r="D86" i="1" s="1"/>
  <c r="D88" i="1" s="1"/>
  <c r="D89" i="1" s="1"/>
  <c r="D90" i="1" s="1"/>
  <c r="D91" i="1" s="1"/>
  <c r="D92" i="1" s="1"/>
  <c r="D93" i="1" s="1"/>
  <c r="D94" i="1" l="1"/>
  <c r="D95" i="1" s="1"/>
  <c r="D96" i="1" s="1"/>
  <c r="D98" i="1" s="1"/>
  <c r="D97" i="1" s="1"/>
  <c r="D99" i="1" s="1"/>
  <c r="D100" i="1" s="1"/>
  <c r="D101" i="1" s="1"/>
  <c r="D102" i="1" s="1"/>
  <c r="D103" i="1" s="1"/>
  <c r="D104" i="1" s="1"/>
  <c r="D105" i="1" l="1"/>
  <c r="D106" i="1" s="1"/>
  <c r="D107" i="1" s="1"/>
  <c r="D109" i="1" s="1"/>
  <c r="D108" i="1" s="1"/>
  <c r="D110" i="1" s="1"/>
  <c r="D111" i="1" s="1"/>
  <c r="D112" i="1" s="1"/>
  <c r="D113" i="1" s="1"/>
  <c r="D114" i="1" s="1"/>
  <c r="D115" i="1" s="1"/>
  <c r="D116" i="1" l="1"/>
  <c r="D117" i="1" s="1"/>
  <c r="D118" i="1" s="1"/>
  <c r="D120" i="1" s="1"/>
  <c r="D119" i="1" s="1"/>
  <c r="D121" i="1" s="1"/>
  <c r="D122" i="1" s="1"/>
  <c r="D123" i="1" s="1"/>
  <c r="D124" i="1" s="1"/>
  <c r="D125" i="1" s="1"/>
  <c r="D126" i="1" s="1"/>
  <c r="D127" i="1" l="1"/>
  <c r="D128" i="1" s="1"/>
  <c r="D129" i="1" s="1"/>
  <c r="D131" i="1" s="1"/>
  <c r="D130" i="1" s="1"/>
  <c r="D132" i="1" s="1"/>
  <c r="D133" i="1" s="1"/>
  <c r="D134" i="1" s="1"/>
  <c r="D135" i="1" s="1"/>
  <c r="D136" i="1" s="1"/>
  <c r="D137" i="1" s="1"/>
  <c r="D138" i="1" l="1"/>
  <c r="D139" i="1" s="1"/>
  <c r="D140" i="1" s="1"/>
  <c r="D142" i="1" s="1"/>
  <c r="D141" i="1" s="1"/>
  <c r="D143" i="1" s="1"/>
  <c r="D144" i="1" s="1"/>
  <c r="D145" i="1" s="1"/>
  <c r="D146" i="1" s="1"/>
  <c r="D147" i="1" s="1"/>
  <c r="D148" i="1" s="1"/>
</calcChain>
</file>

<file path=xl/sharedStrings.xml><?xml version="1.0" encoding="utf-8"?>
<sst xmlns="http://schemas.openxmlformats.org/spreadsheetml/2006/main" count="505" uniqueCount="117">
  <si>
    <t>offset</t>
  </si>
  <si>
    <t>size</t>
  </si>
  <si>
    <t>type</t>
  </si>
  <si>
    <t>State</t>
  </si>
  <si>
    <t>Field Name in Code</t>
  </si>
  <si>
    <t>Value</t>
  </si>
  <si>
    <t>description</t>
  </si>
  <si>
    <t>Field Name in Requirements</t>
  </si>
  <si>
    <t>uint8</t>
  </si>
  <si>
    <t>N/A</t>
  </si>
  <si>
    <t>CapsuleStateHFRFlag</t>
  </si>
  <si>
    <t>Bit #n represents whether capsule state #n is HFR (1) or not (0).</t>
  </si>
  <si>
    <t>FrameEncryptionEnable</t>
  </si>
  <si>
    <t>Enable ('1') encryption of frames before eMMC storage</t>
  </si>
  <si>
    <t>BLEEncryptionEnable</t>
  </si>
  <si>
    <t>Enable ('1') encryption of BLE communication outside Production state (always disabled in production).</t>
  </si>
  <si>
    <t>uint32</t>
  </si>
  <si>
    <t>MaxRTVSessionTime</t>
  </si>
  <si>
    <t>[msec] Maximum RTV session duration</t>
  </si>
  <si>
    <t>MAXRTVTotalTime</t>
  </si>
  <si>
    <t>[msec] Maximum accumulated duration of all RTV sessions</t>
  </si>
  <si>
    <t>RTVConnectionTimeout</t>
  </si>
  <si>
    <t>[msec] Maximum time patch will wait for TCP Socket successful connection until reset of wireless module into sleep mode</t>
  </si>
  <si>
    <t>FuelGaugeQueryTime</t>
  </si>
  <si>
    <t>[msec] Periodic cycle of power and thermal management</t>
  </si>
  <si>
    <t>NominalBatteryCapacity</t>
  </si>
  <si>
    <t>[mA*h] Capacity of patch battery</t>
  </si>
  <si>
    <t>BatteryThreshold</t>
  </si>
  <si>
    <t>[%] Minimum remaining patch battery level to allow a procedure to start</t>
  </si>
  <si>
    <t>CapsuleWTCThreshold</t>
  </si>
  <si>
    <t>Maximum PillCam WTC value to allow a procedure to start (Default 5000)</t>
  </si>
  <si>
    <t>CapsuleSearchTimeout</t>
  </si>
  <si>
    <t>[msec] Timeout for receiving the first PillCam frame in a procedure after the MODEM Rx is turned ON, before shutting down the patch.</t>
  </si>
  <si>
    <t>CapsuleSearchDelay</t>
  </si>
  <si>
    <t>[msec] Delay in Capsule Search state between patch turn on and MODEM RX turn on.</t>
  </si>
  <si>
    <t>PSD_override_mode_psd_reg</t>
  </si>
  <si>
    <t>For R&amp;D debug usage only</t>
  </si>
  <si>
    <t>DummyFrameTimeout</t>
  </si>
  <si>
    <t>[msec] Time from the last processed frame to generate a Dummy frame</t>
  </si>
  <si>
    <t>t_dummy</t>
  </si>
  <si>
    <t>ShutDownTemperatureThreshold</t>
  </si>
  <si>
    <r>
      <t>[0.1*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C] Patch shutdown thermal threshold</t>
    </r>
  </si>
  <si>
    <t>shdn_temp_th</t>
  </si>
  <si>
    <t>ShutDownBatteryThreshold</t>
  </si>
  <si>
    <t>[%] Patch shutdown battery threshold</t>
  </si>
  <si>
    <t>shdn_bat_th</t>
  </si>
  <si>
    <t>ShutDownVoltageThreshold</t>
  </si>
  <si>
    <t>[mV] Patch shutdown battery voltage threshold (Default 2050)</t>
  </si>
  <si>
    <t>shdn_volt_th</t>
  </si>
  <si>
    <t>LowPowerTemperatureThreshold</t>
  </si>
  <si>
    <r>
      <t>[0.1*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C] Patch low power mode thermal threshold(520)</t>
    </r>
  </si>
  <si>
    <t>lp_temp_th</t>
  </si>
  <si>
    <t>LowPowerBatteryThreshold</t>
  </si>
  <si>
    <t>[%] Patch low power mode battery threshold</t>
  </si>
  <si>
    <t>lp_bat_th</t>
  </si>
  <si>
    <t>ReducedPowerTemperatureThreshold</t>
  </si>
  <si>
    <r>
      <t>[0.1*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C] Patch reduced power mode thermal threshold(470)</t>
    </r>
  </si>
  <si>
    <t>rp_temp_th</t>
  </si>
  <si>
    <t>ReducedPowerBatteryThreshold</t>
  </si>
  <si>
    <t>[%] Patch reduced power mode battery threshold</t>
  </si>
  <si>
    <t>rp_bat_th</t>
  </si>
  <si>
    <t>TemperatureHysteresis</t>
  </si>
  <si>
    <r>
      <t>[0.1*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C] Patch temperature hysteresis</t>
    </r>
  </si>
  <si>
    <t>temp_hysteresis</t>
  </si>
  <si>
    <t>uint16</t>
  </si>
  <si>
    <t>RecordingIndicationType</t>
  </si>
  <si>
    <t>0: Timer based Green blink every 2 seconds. 1: Frame reception based pulse.</t>
  </si>
  <si>
    <t>CMA_enable</t>
  </si>
  <si>
    <t>0: Disable CMA. 1: Enable CMA (Communication Management Algorithm)</t>
  </si>
  <si>
    <t>PSD_override_mode_flag</t>
  </si>
  <si>
    <t>wifi_retries</t>
  </si>
  <si>
    <t>Number of WiFi transmissions retries</t>
  </si>
  <si>
    <t>WiFi_timeout</t>
  </si>
  <si>
    <t>[msec] WiFi respond timeout</t>
  </si>
  <si>
    <t>ble_retries</t>
  </si>
  <si>
    <t xml:space="preserve">Number of BLE transmissions retries </t>
  </si>
  <si>
    <t>ble_timeout</t>
  </si>
  <si>
    <t>[msec] BLE respond timeout</t>
  </si>
  <si>
    <t>BLEIdleTimeout</t>
  </si>
  <si>
    <t>[msec] BLE IDLE Timeout (to close IDLE BLE connections)</t>
  </si>
  <si>
    <t>t_enable_shutdown</t>
  </si>
  <si>
    <t>[msec] Time from beginning of Recording state when patch can still be turned off with a magnet.</t>
  </si>
  <si>
    <t>ADCCalibrationInterval</t>
  </si>
  <si>
    <t>[msec] Time between consecutive calls to ADC re-callibration (per ADC)</t>
  </si>
  <si>
    <t>Reserved for future use</t>
  </si>
  <si>
    <t>RESERVED3</t>
  </si>
  <si>
    <t>ProcedureStatesCount</t>
  </si>
  <si>
    <t>number of procedure states: 1 to 10</t>
  </si>
  <si>
    <t>N</t>
  </si>
  <si>
    <t>TriggerMaxDurationInState</t>
  </si>
  <si>
    <t>[msec] Maximum time in current procedure state before moving on to the next state.</t>
  </si>
  <si>
    <t>TriggerMaxDurationGlobal</t>
  </si>
  <si>
    <t>[msec] Maximum time in Recording state before moving on to the next procedure state.</t>
  </si>
  <si>
    <t>NoFrameTimeout</t>
  </si>
  <si>
    <t>[msec] Maximum time since last PillCam frame received before issuing EOP.</t>
  </si>
  <si>
    <t>TriggerCapsuleHFRCounter</t>
  </si>
  <si>
    <t>Number of HFR frames transmitted by PillCam threshold above which the patch transitions to the next procedure state.</t>
  </si>
  <si>
    <t>TriggerPatchBattery</t>
  </si>
  <si>
    <t>[%] Patch remaining battery level threshold below which the patch transitions to the next procedure state. 0 = disable</t>
  </si>
  <si>
    <t>AFREnable</t>
  </si>
  <si>
    <t>1' = Enable AFR in current procedure state. '0' = disable</t>
  </si>
  <si>
    <t>AFRCapsuleStateLFR</t>
  </si>
  <si>
    <t>Capsule state number that serves as LFR state for current procedure state.</t>
  </si>
  <si>
    <t>AFRCapsuleStateHFR</t>
  </si>
  <si>
    <t>Capsule state number that serves as HFR state for current procedure state. Should be equals to "AFRCapsuleStateLFR" when AFR is disabled.</t>
  </si>
  <si>
    <t>AfrHIGH2LOWTH</t>
  </si>
  <si>
    <t>AFR High to Low threshold. AFR score below this threshold sets LFR.</t>
  </si>
  <si>
    <t>AfrLOW2HIGHTH</t>
  </si>
  <si>
    <t>AFR Low to High threshold. AFR score above this threshold sets HFR.</t>
  </si>
  <si>
    <t>AFRHoldTime</t>
  </si>
  <si>
    <t>[msec] Time to remain in HFR before going back to LFR, regardless of the AFR score.</t>
  </si>
  <si>
    <t>FullProcedureTime</t>
  </si>
  <si>
    <t>Intire procedure duration (12 Hours)</t>
  </si>
  <si>
    <t>UploadTimout</t>
  </si>
  <si>
    <t>117 minutes +-3 upload timout from last success upload of file (burst of N frames) to S3</t>
  </si>
  <si>
    <t>EngOpt</t>
  </si>
  <si>
    <t>Engineering Optional 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</si>
</sst>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quotePrefix="1"/>
    <xf numFmtId="0" fontId="0" fillId="2" borderId="0" xfId="0" applyFill="1"/>
    <xf numFmtId="0" fontId="0" fillId="2" borderId="0" xfId="0" quotePrefix="1" applyFill="1"/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Fill="1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8"/>
  <sheetViews>
    <sheetView tabSelected="1" topLeftCell="C1" workbookViewId="0">
      <selection activeCell="E5" sqref="E5:G5"/>
    </sheetView>
  </sheetViews>
  <sheetFormatPr defaultRowHeight="14.85" x14ac:dyDescent="0.25"/>
  <cols>
    <col min="1" max="1" width="6.42578125" bestFit="1" customWidth="1"/>
    <col min="2" max="2" width="4.42578125" bestFit="1" customWidth="1"/>
    <col min="3" max="3" width="6.42578125" bestFit="1" customWidth="1"/>
    <col min="4" max="4" width="5.42578125" bestFit="1" customWidth="1"/>
    <col min="5" max="5" width="35.42578125" bestFit="1" customWidth="1"/>
    <col min="6" max="6" width="20.42578125" customWidth="1"/>
    <col min="7" max="7" width="128" bestFit="1" customWidth="1"/>
    <col min="8" max="8" width="43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0</v>
      </c>
      <c r="B2">
        <v>1</v>
      </c>
      <c r="C2" t="s">
        <v>8</v>
      </c>
      <c r="D2" t="s">
        <v>9</v>
      </c>
      <c r="E2" t="s">
        <v>10</v>
      </c>
      <c r="F2">
        <v>4</v>
      </c>
      <c r="G2" t="s">
        <v>11</v>
      </c>
    </row>
    <row r="3" spans="1:8" x14ac:dyDescent="0.25">
      <c r="A3">
        <f t="shared" ref="A3:A66" si="0">A2+B2</f>
        <v>1</v>
      </c>
      <c r="B3">
        <v>1</v>
      </c>
      <c r="C3" t="s">
        <v>8</v>
      </c>
      <c r="D3" t="s">
        <v>9</v>
      </c>
      <c r="E3" t="s">
        <v>12</v>
      </c>
      <c r="F3">
        <v>1</v>
      </c>
      <c r="G3" t="s">
        <v>13</v>
      </c>
    </row>
    <row r="4" spans="1:8" x14ac:dyDescent="0.25">
      <c r="A4">
        <f t="shared" si="0"/>
        <v>2</v>
      </c>
      <c r="B4">
        <v>1</v>
      </c>
      <c r="C4" t="s">
        <v>8</v>
      </c>
      <c r="D4" t="s">
        <v>9</v>
      </c>
      <c r="E4" t="s">
        <v>14</v>
      </c>
      <c r="F4">
        <v>1</v>
      </c>
      <c r="G4" t="s">
        <v>15</v>
      </c>
    </row>
    <row r="5" spans="1:8" x14ac:dyDescent="0.25">
      <c r="A5">
        <f t="shared" si="0"/>
        <v>3</v>
      </c>
      <c r="B5">
        <v>1</v>
      </c>
      <c r="C5" t="s">
        <v>8</v>
      </c>
      <c r="D5" t="s">
        <v>9</v>
      </c>
      <c r="E5" s="9" t="s">
        <v>115</v>
      </c>
      <c r="F5" s="9">
        <v>0</v>
      </c>
      <c r="G5" s="9" t="s">
        <v>116</v>
      </c>
    </row>
    <row r="6" spans="1:8" x14ac:dyDescent="0.25">
      <c r="A6">
        <f t="shared" si="0"/>
        <v>4</v>
      </c>
      <c r="B6">
        <v>4</v>
      </c>
      <c r="C6" t="s">
        <v>16</v>
      </c>
      <c r="D6" t="s">
        <v>9</v>
      </c>
      <c r="E6" t="s">
        <v>17</v>
      </c>
      <c r="F6">
        <f>0.5*60*1000</f>
        <v>30000</v>
      </c>
      <c r="G6" t="s">
        <v>18</v>
      </c>
      <c r="H6" t="s">
        <v>17</v>
      </c>
    </row>
    <row r="7" spans="1:8" x14ac:dyDescent="0.25">
      <c r="A7">
        <f t="shared" si="0"/>
        <v>8</v>
      </c>
      <c r="B7">
        <v>4</v>
      </c>
      <c r="C7" t="s">
        <v>16</v>
      </c>
      <c r="D7" t="s">
        <v>9</v>
      </c>
      <c r="E7" t="s">
        <v>19</v>
      </c>
      <c r="F7">
        <f>30*60*1000</f>
        <v>1800000</v>
      </c>
      <c r="G7" t="s">
        <v>20</v>
      </c>
      <c r="H7" t="s">
        <v>19</v>
      </c>
    </row>
    <row r="8" spans="1:8" x14ac:dyDescent="0.25">
      <c r="A8">
        <f t="shared" si="0"/>
        <v>12</v>
      </c>
      <c r="B8">
        <v>4</v>
      </c>
      <c r="C8" t="s">
        <v>16</v>
      </c>
      <c r="D8" t="s">
        <v>9</v>
      </c>
      <c r="E8" t="s">
        <v>21</v>
      </c>
      <c r="F8">
        <v>45000</v>
      </c>
      <c r="G8" t="s">
        <v>22</v>
      </c>
    </row>
    <row r="9" spans="1:8" x14ac:dyDescent="0.25">
      <c r="A9">
        <f t="shared" si="0"/>
        <v>16</v>
      </c>
      <c r="B9">
        <v>4</v>
      </c>
      <c r="C9" t="s">
        <v>16</v>
      </c>
      <c r="D9" t="s">
        <v>9</v>
      </c>
      <c r="E9" t="s">
        <v>23</v>
      </c>
      <c r="F9">
        <f>60000 - 5000</f>
        <v>55000</v>
      </c>
      <c r="G9" t="s">
        <v>24</v>
      </c>
    </row>
    <row r="10" spans="1:8" x14ac:dyDescent="0.25">
      <c r="A10">
        <f t="shared" si="0"/>
        <v>20</v>
      </c>
      <c r="B10">
        <v>4</v>
      </c>
      <c r="C10" t="s">
        <v>16</v>
      </c>
      <c r="D10" t="s">
        <v>9</v>
      </c>
      <c r="E10" t="s">
        <v>25</v>
      </c>
      <c r="F10">
        <v>2200</v>
      </c>
      <c r="G10" t="s">
        <v>26</v>
      </c>
    </row>
    <row r="11" spans="1:8" x14ac:dyDescent="0.25">
      <c r="A11">
        <f t="shared" si="0"/>
        <v>24</v>
      </c>
      <c r="B11">
        <v>4</v>
      </c>
      <c r="C11" t="s">
        <v>16</v>
      </c>
      <c r="D11" t="s">
        <v>9</v>
      </c>
      <c r="E11" t="s">
        <v>27</v>
      </c>
      <c r="F11">
        <v>90</v>
      </c>
      <c r="G11" t="s">
        <v>28</v>
      </c>
      <c r="H11" t="s">
        <v>27</v>
      </c>
    </row>
    <row r="12" spans="1:8" x14ac:dyDescent="0.25">
      <c r="A12">
        <f t="shared" si="0"/>
        <v>28</v>
      </c>
      <c r="B12">
        <v>4</v>
      </c>
      <c r="C12" t="s">
        <v>16</v>
      </c>
      <c r="D12" t="s">
        <v>9</v>
      </c>
      <c r="E12" t="s">
        <v>29</v>
      </c>
      <c r="F12">
        <v>5000</v>
      </c>
      <c r="G12" t="s">
        <v>30</v>
      </c>
      <c r="H12" t="s">
        <v>29</v>
      </c>
    </row>
    <row r="13" spans="1:8" x14ac:dyDescent="0.25">
      <c r="A13">
        <f t="shared" si="0"/>
        <v>32</v>
      </c>
      <c r="B13">
        <v>4</v>
      </c>
      <c r="C13" t="s">
        <v>16</v>
      </c>
      <c r="D13" t="s">
        <v>9</v>
      </c>
      <c r="E13" t="s">
        <v>31</v>
      </c>
      <c r="F13">
        <f>30*60*1000</f>
        <v>1800000</v>
      </c>
      <c r="G13" t="s">
        <v>32</v>
      </c>
      <c r="H13" t="s">
        <v>31</v>
      </c>
    </row>
    <row r="14" spans="1:8" x14ac:dyDescent="0.25">
      <c r="A14">
        <f t="shared" si="0"/>
        <v>36</v>
      </c>
      <c r="B14">
        <v>4</v>
      </c>
      <c r="C14" t="s">
        <v>16</v>
      </c>
      <c r="D14" t="s">
        <v>9</v>
      </c>
      <c r="E14" t="s">
        <v>33</v>
      </c>
      <c r="F14">
        <v>6000</v>
      </c>
      <c r="G14" t="s">
        <v>34</v>
      </c>
      <c r="H14" t="s">
        <v>33</v>
      </c>
    </row>
    <row r="15" spans="1:8" x14ac:dyDescent="0.25">
      <c r="A15">
        <f t="shared" si="0"/>
        <v>40</v>
      </c>
      <c r="B15">
        <v>4</v>
      </c>
      <c r="C15" t="s">
        <v>16</v>
      </c>
      <c r="D15" t="s">
        <v>9</v>
      </c>
      <c r="E15" t="s">
        <v>35</v>
      </c>
      <c r="F15">
        <v>0</v>
      </c>
      <c r="G15" t="s">
        <v>36</v>
      </c>
    </row>
    <row r="16" spans="1:8" x14ac:dyDescent="0.25">
      <c r="A16">
        <f t="shared" si="0"/>
        <v>44</v>
      </c>
      <c r="B16">
        <v>4</v>
      </c>
      <c r="C16" t="s">
        <v>16</v>
      </c>
      <c r="D16" t="s">
        <v>9</v>
      </c>
      <c r="E16" t="s">
        <v>37</v>
      </c>
      <c r="F16">
        <v>5000</v>
      </c>
      <c r="G16" t="s">
        <v>38</v>
      </c>
      <c r="H16" t="s">
        <v>39</v>
      </c>
    </row>
    <row r="17" spans="1:8" ht="17.100000000000001" x14ac:dyDescent="0.25">
      <c r="A17">
        <f t="shared" si="0"/>
        <v>48</v>
      </c>
      <c r="B17">
        <v>4</v>
      </c>
      <c r="C17" t="s">
        <v>16</v>
      </c>
      <c r="D17" t="s">
        <v>9</v>
      </c>
      <c r="E17" t="s">
        <v>40</v>
      </c>
      <c r="F17">
        <v>480</v>
      </c>
      <c r="G17" t="s">
        <v>41</v>
      </c>
      <c r="H17" t="s">
        <v>42</v>
      </c>
    </row>
    <row r="18" spans="1:8" x14ac:dyDescent="0.25">
      <c r="A18">
        <f t="shared" si="0"/>
        <v>52</v>
      </c>
      <c r="B18">
        <v>4</v>
      </c>
      <c r="C18" t="s">
        <v>16</v>
      </c>
      <c r="D18" t="s">
        <v>9</v>
      </c>
      <c r="E18" t="s">
        <v>43</v>
      </c>
      <c r="F18">
        <v>0</v>
      </c>
      <c r="G18" t="s">
        <v>44</v>
      </c>
      <c r="H18" t="s">
        <v>45</v>
      </c>
    </row>
    <row r="19" spans="1:8" x14ac:dyDescent="0.25">
      <c r="A19">
        <f t="shared" si="0"/>
        <v>56</v>
      </c>
      <c r="B19">
        <v>4</v>
      </c>
      <c r="C19" t="s">
        <v>16</v>
      </c>
      <c r="D19" t="s">
        <v>9</v>
      </c>
      <c r="E19" t="s">
        <v>46</v>
      </c>
      <c r="F19">
        <v>2050</v>
      </c>
      <c r="G19" t="s">
        <v>47</v>
      </c>
      <c r="H19" t="s">
        <v>48</v>
      </c>
    </row>
    <row r="20" spans="1:8" ht="17.100000000000001" x14ac:dyDescent="0.25">
      <c r="A20">
        <f t="shared" si="0"/>
        <v>60</v>
      </c>
      <c r="B20">
        <v>4</v>
      </c>
      <c r="C20" t="s">
        <v>16</v>
      </c>
      <c r="D20" t="s">
        <v>9</v>
      </c>
      <c r="E20" t="s">
        <v>49</v>
      </c>
      <c r="F20">
        <v>470</v>
      </c>
      <c r="G20" t="s">
        <v>50</v>
      </c>
      <c r="H20" t="s">
        <v>51</v>
      </c>
    </row>
    <row r="21" spans="1:8" x14ac:dyDescent="0.25">
      <c r="A21">
        <f t="shared" si="0"/>
        <v>64</v>
      </c>
      <c r="B21">
        <v>4</v>
      </c>
      <c r="C21" t="s">
        <v>16</v>
      </c>
      <c r="D21" t="s">
        <v>9</v>
      </c>
      <c r="E21" t="s">
        <v>52</v>
      </c>
      <c r="F21">
        <v>3</v>
      </c>
      <c r="G21" t="s">
        <v>53</v>
      </c>
      <c r="H21" t="s">
        <v>54</v>
      </c>
    </row>
    <row r="22" spans="1:8" ht="17.100000000000001" x14ac:dyDescent="0.25">
      <c r="A22">
        <f t="shared" si="0"/>
        <v>68</v>
      </c>
      <c r="B22">
        <v>4</v>
      </c>
      <c r="C22" t="s">
        <v>16</v>
      </c>
      <c r="D22" t="s">
        <v>9</v>
      </c>
      <c r="E22" t="s">
        <v>55</v>
      </c>
      <c r="F22">
        <v>460</v>
      </c>
      <c r="G22" t="s">
        <v>56</v>
      </c>
      <c r="H22" t="s">
        <v>57</v>
      </c>
    </row>
    <row r="23" spans="1:8" x14ac:dyDescent="0.25">
      <c r="A23">
        <f t="shared" si="0"/>
        <v>72</v>
      </c>
      <c r="B23">
        <v>4</v>
      </c>
      <c r="C23" t="s">
        <v>16</v>
      </c>
      <c r="D23" t="s">
        <v>9</v>
      </c>
      <c r="E23" t="s">
        <v>58</v>
      </c>
      <c r="F23">
        <v>8</v>
      </c>
      <c r="G23" t="s">
        <v>59</v>
      </c>
      <c r="H23" t="s">
        <v>60</v>
      </c>
    </row>
    <row r="24" spans="1:8" ht="17.100000000000001" x14ac:dyDescent="0.25">
      <c r="A24">
        <f t="shared" si="0"/>
        <v>76</v>
      </c>
      <c r="B24">
        <v>4</v>
      </c>
      <c r="C24" t="s">
        <v>16</v>
      </c>
      <c r="D24" t="s">
        <v>9</v>
      </c>
      <c r="E24" t="s">
        <v>61</v>
      </c>
      <c r="F24">
        <v>9</v>
      </c>
      <c r="G24" t="s">
        <v>62</v>
      </c>
      <c r="H24" t="s">
        <v>63</v>
      </c>
    </row>
    <row r="25" spans="1:8" x14ac:dyDescent="0.25">
      <c r="A25">
        <f t="shared" si="0"/>
        <v>80</v>
      </c>
      <c r="B25">
        <v>2</v>
      </c>
      <c r="C25" t="s">
        <v>64</v>
      </c>
      <c r="D25" t="s">
        <v>9</v>
      </c>
      <c r="E25" t="s">
        <v>65</v>
      </c>
      <c r="F25">
        <v>0</v>
      </c>
      <c r="G25" s="1" t="s">
        <v>66</v>
      </c>
      <c r="H25" t="s">
        <v>65</v>
      </c>
    </row>
    <row r="26" spans="1:8" x14ac:dyDescent="0.25">
      <c r="A26">
        <f t="shared" si="0"/>
        <v>82</v>
      </c>
      <c r="B26">
        <v>1</v>
      </c>
      <c r="C26" t="s">
        <v>8</v>
      </c>
      <c r="D26" t="s">
        <v>9</v>
      </c>
      <c r="E26" t="s">
        <v>67</v>
      </c>
      <c r="F26">
        <v>1</v>
      </c>
      <c r="G26" s="1" t="s">
        <v>68</v>
      </c>
    </row>
    <row r="27" spans="1:8" x14ac:dyDescent="0.25">
      <c r="A27">
        <f t="shared" si="0"/>
        <v>83</v>
      </c>
      <c r="B27">
        <v>1</v>
      </c>
      <c r="C27" t="s">
        <v>8</v>
      </c>
      <c r="D27" t="s">
        <v>9</v>
      </c>
      <c r="E27" t="s">
        <v>69</v>
      </c>
      <c r="F27">
        <v>0</v>
      </c>
      <c r="G27" s="1" t="s">
        <v>36</v>
      </c>
    </row>
    <row r="28" spans="1:8" x14ac:dyDescent="0.25">
      <c r="A28">
        <f t="shared" si="0"/>
        <v>84</v>
      </c>
      <c r="B28">
        <v>4</v>
      </c>
      <c r="C28" t="s">
        <v>16</v>
      </c>
      <c r="D28" t="s">
        <v>9</v>
      </c>
      <c r="E28" t="s">
        <v>70</v>
      </c>
      <c r="F28">
        <v>3</v>
      </c>
      <c r="G28" s="1" t="s">
        <v>71</v>
      </c>
    </row>
    <row r="29" spans="1:8" x14ac:dyDescent="0.25">
      <c r="A29">
        <f t="shared" si="0"/>
        <v>88</v>
      </c>
      <c r="B29">
        <v>4</v>
      </c>
      <c r="C29" t="s">
        <v>16</v>
      </c>
      <c r="D29" t="s">
        <v>9</v>
      </c>
      <c r="E29" t="s">
        <v>72</v>
      </c>
      <c r="F29">
        <v>30</v>
      </c>
      <c r="G29" s="1" t="s">
        <v>73</v>
      </c>
    </row>
    <row r="30" spans="1:8" x14ac:dyDescent="0.25">
      <c r="A30">
        <f t="shared" si="0"/>
        <v>92</v>
      </c>
      <c r="B30">
        <v>4</v>
      </c>
      <c r="C30" t="s">
        <v>16</v>
      </c>
      <c r="D30" t="s">
        <v>9</v>
      </c>
      <c r="E30" t="s">
        <v>74</v>
      </c>
      <c r="F30">
        <v>3</v>
      </c>
      <c r="G30" s="1" t="s">
        <v>75</v>
      </c>
    </row>
    <row r="31" spans="1:8" x14ac:dyDescent="0.25">
      <c r="A31">
        <f t="shared" si="0"/>
        <v>96</v>
      </c>
      <c r="B31">
        <v>4</v>
      </c>
      <c r="C31" t="s">
        <v>16</v>
      </c>
      <c r="D31" t="s">
        <v>9</v>
      </c>
      <c r="E31" t="s">
        <v>76</v>
      </c>
      <c r="F31">
        <v>30000</v>
      </c>
      <c r="G31" s="1" t="s">
        <v>77</v>
      </c>
    </row>
    <row r="32" spans="1:8" x14ac:dyDescent="0.25">
      <c r="A32">
        <f t="shared" si="0"/>
        <v>100</v>
      </c>
      <c r="B32">
        <v>4</v>
      </c>
      <c r="C32" t="s">
        <v>16</v>
      </c>
      <c r="D32" t="s">
        <v>9</v>
      </c>
      <c r="E32" t="s">
        <v>78</v>
      </c>
      <c r="F32">
        <v>300000</v>
      </c>
      <c r="G32" s="1" t="s">
        <v>79</v>
      </c>
      <c r="H32" t="s">
        <v>78</v>
      </c>
    </row>
    <row r="33" spans="1:12" x14ac:dyDescent="0.25">
      <c r="A33">
        <f t="shared" si="0"/>
        <v>104</v>
      </c>
      <c r="B33">
        <v>4</v>
      </c>
      <c r="C33" t="s">
        <v>16</v>
      </c>
      <c r="D33" t="s">
        <v>9</v>
      </c>
      <c r="E33" t="s">
        <v>80</v>
      </c>
      <c r="F33">
        <f>15*60*1000</f>
        <v>900000</v>
      </c>
      <c r="G33" t="s">
        <v>81</v>
      </c>
      <c r="H33" t="s">
        <v>80</v>
      </c>
    </row>
    <row r="34" spans="1:12" x14ac:dyDescent="0.25">
      <c r="A34">
        <f t="shared" si="0"/>
        <v>108</v>
      </c>
      <c r="B34">
        <v>4</v>
      </c>
      <c r="C34" t="s">
        <v>16</v>
      </c>
      <c r="D34" t="s">
        <v>9</v>
      </c>
      <c r="E34" t="s">
        <v>82</v>
      </c>
      <c r="F34">
        <v>60000</v>
      </c>
      <c r="G34" t="s">
        <v>83</v>
      </c>
    </row>
    <row r="35" spans="1:12" x14ac:dyDescent="0.25">
      <c r="A35">
        <f t="shared" si="0"/>
        <v>112</v>
      </c>
      <c r="B35">
        <v>4</v>
      </c>
      <c r="C35" t="s">
        <v>16</v>
      </c>
      <c r="D35" t="s">
        <v>9</v>
      </c>
      <c r="E35" t="s">
        <v>111</v>
      </c>
      <c r="F35">
        <f>12*3600*1000</f>
        <v>43200000</v>
      </c>
      <c r="G35" s="5" t="s">
        <v>112</v>
      </c>
    </row>
    <row r="36" spans="1:12" x14ac:dyDescent="0.25">
      <c r="A36">
        <f t="shared" si="0"/>
        <v>116</v>
      </c>
      <c r="B36">
        <v>4</v>
      </c>
      <c r="C36" t="s">
        <v>16</v>
      </c>
      <c r="D36" t="s">
        <v>9</v>
      </c>
      <c r="E36" s="7" t="s">
        <v>113</v>
      </c>
      <c r="F36">
        <f>117*60*1000</f>
        <v>7020000</v>
      </c>
      <c r="G36" s="8" t="s">
        <v>114</v>
      </c>
    </row>
    <row r="37" spans="1:12" x14ac:dyDescent="0.25">
      <c r="A37">
        <f t="shared" si="0"/>
        <v>120</v>
      </c>
      <c r="B37">
        <v>4</v>
      </c>
      <c r="C37" t="s">
        <v>16</v>
      </c>
      <c r="D37" t="s">
        <v>9</v>
      </c>
      <c r="E37" t="s">
        <v>85</v>
      </c>
      <c r="F37">
        <v>0</v>
      </c>
      <c r="G37" t="s">
        <v>84</v>
      </c>
    </row>
    <row r="38" spans="1:12" x14ac:dyDescent="0.25">
      <c r="A38">
        <f t="shared" si="0"/>
        <v>124</v>
      </c>
      <c r="B38">
        <v>4</v>
      </c>
      <c r="C38" t="s">
        <v>16</v>
      </c>
      <c r="D38" t="s">
        <v>9</v>
      </c>
      <c r="E38" t="s">
        <v>86</v>
      </c>
      <c r="F38">
        <v>4</v>
      </c>
      <c r="G38" t="s">
        <v>87</v>
      </c>
      <c r="H38" t="s">
        <v>88</v>
      </c>
    </row>
    <row r="39" spans="1:12" s="2" customFormat="1" x14ac:dyDescent="0.25">
      <c r="A39">
        <f t="shared" si="0"/>
        <v>128</v>
      </c>
      <c r="B39" s="2">
        <v>4</v>
      </c>
      <c r="C39" s="2" t="s">
        <v>16</v>
      </c>
      <c r="D39" s="2">
        <v>0</v>
      </c>
      <c r="E39" s="2" t="s">
        <v>89</v>
      </c>
      <c r="F39" s="2">
        <f>3*60*1000</f>
        <v>180000</v>
      </c>
      <c r="G39" s="2" t="s">
        <v>90</v>
      </c>
      <c r="H39"/>
      <c r="I39"/>
      <c r="J39"/>
      <c r="K39"/>
      <c r="L39"/>
    </row>
    <row r="40" spans="1:12" s="2" customFormat="1" x14ac:dyDescent="0.25">
      <c r="A40">
        <f t="shared" si="0"/>
        <v>132</v>
      </c>
      <c r="B40" s="2">
        <v>4</v>
      </c>
      <c r="C40" s="2" t="s">
        <v>16</v>
      </c>
      <c r="D40" s="2">
        <f>D39</f>
        <v>0</v>
      </c>
      <c r="E40" s="2" t="s">
        <v>91</v>
      </c>
      <c r="F40" s="2">
        <v>0</v>
      </c>
      <c r="G40" s="2" t="s">
        <v>92</v>
      </c>
      <c r="H40"/>
      <c r="I40"/>
      <c r="J40"/>
      <c r="K40"/>
      <c r="L40"/>
    </row>
    <row r="41" spans="1:12" s="2" customFormat="1" x14ac:dyDescent="0.25">
      <c r="A41">
        <f t="shared" si="0"/>
        <v>136</v>
      </c>
      <c r="B41" s="2">
        <v>4</v>
      </c>
      <c r="C41" s="2" t="s">
        <v>16</v>
      </c>
      <c r="D41" s="2">
        <f t="shared" ref="D41:D49" si="1">D40</f>
        <v>0</v>
      </c>
      <c r="E41" s="2" t="s">
        <v>93</v>
      </c>
      <c r="F41" s="2">
        <f>25*60*1000</f>
        <v>1500000</v>
      </c>
      <c r="G41" s="2" t="s">
        <v>94</v>
      </c>
      <c r="H41"/>
      <c r="I41"/>
      <c r="J41"/>
      <c r="K41"/>
      <c r="L41"/>
    </row>
    <row r="42" spans="1:12" s="2" customFormat="1" x14ac:dyDescent="0.25">
      <c r="A42">
        <f t="shared" si="0"/>
        <v>140</v>
      </c>
      <c r="B42" s="2">
        <v>4</v>
      </c>
      <c r="C42" s="2" t="s">
        <v>16</v>
      </c>
      <c r="D42" s="2">
        <f>D43</f>
        <v>0</v>
      </c>
      <c r="E42" s="2" t="s">
        <v>95</v>
      </c>
      <c r="F42" s="2">
        <v>0</v>
      </c>
      <c r="G42" s="2" t="s">
        <v>96</v>
      </c>
      <c r="H42"/>
      <c r="I42"/>
      <c r="J42"/>
      <c r="K42"/>
      <c r="L42"/>
    </row>
    <row r="43" spans="1:12" s="2" customFormat="1" x14ac:dyDescent="0.25">
      <c r="A43">
        <f t="shared" si="0"/>
        <v>144</v>
      </c>
      <c r="B43" s="2">
        <v>1</v>
      </c>
      <c r="C43" s="2" t="s">
        <v>8</v>
      </c>
      <c r="D43" s="2">
        <f>D41</f>
        <v>0</v>
      </c>
      <c r="E43" s="2" t="s">
        <v>97</v>
      </c>
      <c r="F43" s="2">
        <v>0</v>
      </c>
      <c r="G43" s="2" t="s">
        <v>98</v>
      </c>
      <c r="H43"/>
      <c r="I43"/>
      <c r="J43"/>
      <c r="K43"/>
      <c r="L43"/>
    </row>
    <row r="44" spans="1:12" s="2" customFormat="1" x14ac:dyDescent="0.25">
      <c r="A44">
        <f t="shared" si="0"/>
        <v>145</v>
      </c>
      <c r="B44" s="2">
        <v>1</v>
      </c>
      <c r="C44" s="2" t="s">
        <v>8</v>
      </c>
      <c r="D44" s="2">
        <f>D42</f>
        <v>0</v>
      </c>
      <c r="E44" s="2" t="s">
        <v>99</v>
      </c>
      <c r="F44" s="2">
        <v>0</v>
      </c>
      <c r="G44" s="3" t="s">
        <v>100</v>
      </c>
      <c r="H44"/>
      <c r="I44"/>
      <c r="J44"/>
      <c r="K44"/>
      <c r="L44"/>
    </row>
    <row r="45" spans="1:12" s="2" customFormat="1" x14ac:dyDescent="0.25">
      <c r="A45">
        <f t="shared" si="0"/>
        <v>146</v>
      </c>
      <c r="B45" s="2">
        <v>1</v>
      </c>
      <c r="C45" s="2" t="s">
        <v>8</v>
      </c>
      <c r="D45" s="2">
        <f t="shared" si="1"/>
        <v>0</v>
      </c>
      <c r="E45" s="2" t="s">
        <v>101</v>
      </c>
      <c r="F45" s="2">
        <v>0</v>
      </c>
      <c r="G45" s="2" t="s">
        <v>102</v>
      </c>
      <c r="H45"/>
      <c r="I45"/>
      <c r="J45"/>
      <c r="K45"/>
      <c r="L45"/>
    </row>
    <row r="46" spans="1:12" s="2" customFormat="1" x14ac:dyDescent="0.25">
      <c r="A46">
        <f t="shared" si="0"/>
        <v>147</v>
      </c>
      <c r="B46" s="2">
        <v>1</v>
      </c>
      <c r="C46" s="2" t="s">
        <v>8</v>
      </c>
      <c r="D46" s="2">
        <f t="shared" si="1"/>
        <v>0</v>
      </c>
      <c r="E46" s="2" t="s">
        <v>103</v>
      </c>
      <c r="F46" s="2">
        <v>0</v>
      </c>
      <c r="G46" s="2" t="s">
        <v>104</v>
      </c>
      <c r="H46"/>
      <c r="I46"/>
      <c r="J46"/>
      <c r="K46"/>
      <c r="L46"/>
    </row>
    <row r="47" spans="1:12" s="2" customFormat="1" x14ac:dyDescent="0.25">
      <c r="A47">
        <f t="shared" si="0"/>
        <v>148</v>
      </c>
      <c r="B47" s="2">
        <v>2</v>
      </c>
      <c r="C47" s="2" t="s">
        <v>64</v>
      </c>
      <c r="D47" s="2">
        <f t="shared" si="1"/>
        <v>0</v>
      </c>
      <c r="E47" s="2" t="s">
        <v>105</v>
      </c>
      <c r="F47" s="2">
        <v>0</v>
      </c>
      <c r="G47" s="2" t="s">
        <v>106</v>
      </c>
      <c r="H47"/>
      <c r="I47"/>
      <c r="J47"/>
      <c r="K47"/>
      <c r="L47"/>
    </row>
    <row r="48" spans="1:12" s="2" customFormat="1" x14ac:dyDescent="0.25">
      <c r="A48">
        <f t="shared" si="0"/>
        <v>150</v>
      </c>
      <c r="B48" s="2">
        <v>2</v>
      </c>
      <c r="C48" s="2" t="s">
        <v>64</v>
      </c>
      <c r="D48" s="2">
        <f t="shared" si="1"/>
        <v>0</v>
      </c>
      <c r="E48" s="2" t="s">
        <v>107</v>
      </c>
      <c r="F48" s="2">
        <v>0</v>
      </c>
      <c r="G48" s="2" t="s">
        <v>108</v>
      </c>
      <c r="H48"/>
      <c r="I48"/>
      <c r="J48"/>
      <c r="K48"/>
      <c r="L48"/>
    </row>
    <row r="49" spans="1:12" x14ac:dyDescent="0.25">
      <c r="A49">
        <f t="shared" si="0"/>
        <v>152</v>
      </c>
      <c r="B49" s="2">
        <v>4</v>
      </c>
      <c r="C49" s="2" t="s">
        <v>16</v>
      </c>
      <c r="D49" s="2">
        <f t="shared" si="1"/>
        <v>0</v>
      </c>
      <c r="E49" s="2" t="s">
        <v>109</v>
      </c>
      <c r="F49" s="2">
        <v>0</v>
      </c>
      <c r="G49" s="2" t="s">
        <v>110</v>
      </c>
    </row>
    <row r="50" spans="1:12" x14ac:dyDescent="0.25">
      <c r="A50">
        <f t="shared" si="0"/>
        <v>156</v>
      </c>
      <c r="B50">
        <v>4</v>
      </c>
      <c r="C50" t="s">
        <v>16</v>
      </c>
      <c r="D50">
        <f>D39+1</f>
        <v>1</v>
      </c>
      <c r="E50" t="s">
        <v>89</v>
      </c>
      <c r="F50" s="4">
        <f>0*60*1000</f>
        <v>0</v>
      </c>
      <c r="G50" t="s">
        <v>90</v>
      </c>
    </row>
    <row r="51" spans="1:12" x14ac:dyDescent="0.25">
      <c r="A51">
        <f t="shared" si="0"/>
        <v>160</v>
      </c>
      <c r="B51">
        <v>4</v>
      </c>
      <c r="C51" t="s">
        <v>16</v>
      </c>
      <c r="D51">
        <f>D50</f>
        <v>1</v>
      </c>
      <c r="E51" t="s">
        <v>91</v>
      </c>
      <c r="F51">
        <f>2*60*60*1000</f>
        <v>7200000</v>
      </c>
      <c r="G51" t="s">
        <v>92</v>
      </c>
    </row>
    <row r="52" spans="1:12" x14ac:dyDescent="0.25">
      <c r="A52">
        <f t="shared" si="0"/>
        <v>164</v>
      </c>
      <c r="B52">
        <v>4</v>
      </c>
      <c r="C52" t="s">
        <v>16</v>
      </c>
      <c r="D52">
        <f t="shared" ref="D52" si="2">D51</f>
        <v>1</v>
      </c>
      <c r="E52" t="s">
        <v>93</v>
      </c>
      <c r="F52" s="6">
        <f>25*60*1000</f>
        <v>1500000</v>
      </c>
      <c r="G52" t="s">
        <v>94</v>
      </c>
    </row>
    <row r="53" spans="1:12" x14ac:dyDescent="0.25">
      <c r="A53">
        <f t="shared" si="0"/>
        <v>168</v>
      </c>
      <c r="B53">
        <v>4</v>
      </c>
      <c r="C53" t="s">
        <v>16</v>
      </c>
      <c r="D53">
        <f>D54</f>
        <v>1</v>
      </c>
      <c r="E53" t="s">
        <v>95</v>
      </c>
      <c r="F53">
        <v>120000</v>
      </c>
      <c r="G53" t="s">
        <v>96</v>
      </c>
    </row>
    <row r="54" spans="1:12" x14ac:dyDescent="0.25">
      <c r="A54">
        <f t="shared" si="0"/>
        <v>172</v>
      </c>
      <c r="B54">
        <v>1</v>
      </c>
      <c r="C54" t="s">
        <v>8</v>
      </c>
      <c r="D54">
        <f>D52</f>
        <v>1</v>
      </c>
      <c r="E54" t="s">
        <v>97</v>
      </c>
      <c r="F54">
        <v>0</v>
      </c>
      <c r="G54" t="s">
        <v>98</v>
      </c>
    </row>
    <row r="55" spans="1:12" x14ac:dyDescent="0.25">
      <c r="A55">
        <f t="shared" si="0"/>
        <v>173</v>
      </c>
      <c r="B55">
        <v>1</v>
      </c>
      <c r="C55" t="s">
        <v>8</v>
      </c>
      <c r="D55">
        <f>D53</f>
        <v>1</v>
      </c>
      <c r="E55" t="s">
        <v>99</v>
      </c>
      <c r="F55">
        <v>1</v>
      </c>
      <c r="G55" s="1" t="s">
        <v>100</v>
      </c>
    </row>
    <row r="56" spans="1:12" x14ac:dyDescent="0.25">
      <c r="A56">
        <f t="shared" si="0"/>
        <v>174</v>
      </c>
      <c r="B56">
        <v>1</v>
      </c>
      <c r="C56" t="s">
        <v>8</v>
      </c>
      <c r="D56">
        <f t="shared" ref="D56:D60" si="3">D55</f>
        <v>1</v>
      </c>
      <c r="E56" t="s">
        <v>101</v>
      </c>
      <c r="F56">
        <v>1</v>
      </c>
      <c r="G56" t="s">
        <v>102</v>
      </c>
    </row>
    <row r="57" spans="1:12" x14ac:dyDescent="0.25">
      <c r="A57">
        <f t="shared" si="0"/>
        <v>175</v>
      </c>
      <c r="B57">
        <v>1</v>
      </c>
      <c r="C57" t="s">
        <v>8</v>
      </c>
      <c r="D57">
        <f t="shared" si="3"/>
        <v>1</v>
      </c>
      <c r="E57" t="s">
        <v>103</v>
      </c>
      <c r="F57">
        <v>2</v>
      </c>
      <c r="G57" t="s">
        <v>104</v>
      </c>
    </row>
    <row r="58" spans="1:12" x14ac:dyDescent="0.25">
      <c r="A58">
        <f t="shared" si="0"/>
        <v>176</v>
      </c>
      <c r="B58">
        <v>2</v>
      </c>
      <c r="C58" t="s">
        <v>64</v>
      </c>
      <c r="D58">
        <f t="shared" si="3"/>
        <v>1</v>
      </c>
      <c r="E58" t="s">
        <v>105</v>
      </c>
      <c r="F58">
        <v>500</v>
      </c>
      <c r="G58" t="s">
        <v>106</v>
      </c>
    </row>
    <row r="59" spans="1:12" x14ac:dyDescent="0.25">
      <c r="A59">
        <f t="shared" si="0"/>
        <v>178</v>
      </c>
      <c r="B59">
        <v>2</v>
      </c>
      <c r="C59" t="s">
        <v>64</v>
      </c>
      <c r="D59">
        <f t="shared" si="3"/>
        <v>1</v>
      </c>
      <c r="E59" t="s">
        <v>107</v>
      </c>
      <c r="F59">
        <v>500</v>
      </c>
      <c r="G59" t="s">
        <v>108</v>
      </c>
    </row>
    <row r="60" spans="1:12" s="2" customFormat="1" x14ac:dyDescent="0.25">
      <c r="A60">
        <f t="shared" si="0"/>
        <v>180</v>
      </c>
      <c r="B60">
        <v>4</v>
      </c>
      <c r="C60" t="s">
        <v>16</v>
      </c>
      <c r="D60">
        <f t="shared" si="3"/>
        <v>1</v>
      </c>
      <c r="E60" t="s">
        <v>109</v>
      </c>
      <c r="F60">
        <v>1000</v>
      </c>
      <c r="G60" t="s">
        <v>110</v>
      </c>
      <c r="H60"/>
      <c r="I60"/>
      <c r="J60"/>
      <c r="K60"/>
      <c r="L60"/>
    </row>
    <row r="61" spans="1:12" s="2" customFormat="1" x14ac:dyDescent="0.25">
      <c r="A61">
        <f t="shared" si="0"/>
        <v>184</v>
      </c>
      <c r="B61" s="2">
        <v>4</v>
      </c>
      <c r="C61" s="2" t="s">
        <v>16</v>
      </c>
      <c r="D61" s="2">
        <f>D50+1</f>
        <v>2</v>
      </c>
      <c r="E61" s="2" t="s">
        <v>89</v>
      </c>
      <c r="F61" s="2">
        <f>0*60*1000</f>
        <v>0</v>
      </c>
      <c r="G61" s="2" t="s">
        <v>90</v>
      </c>
      <c r="H61"/>
      <c r="I61"/>
      <c r="J61"/>
      <c r="K61"/>
      <c r="L61"/>
    </row>
    <row r="62" spans="1:12" s="2" customFormat="1" x14ac:dyDescent="0.25">
      <c r="A62">
        <f t="shared" si="0"/>
        <v>188</v>
      </c>
      <c r="B62" s="2">
        <v>4</v>
      </c>
      <c r="C62" s="2" t="s">
        <v>16</v>
      </c>
      <c r="D62" s="2">
        <f>D61</f>
        <v>2</v>
      </c>
      <c r="E62" s="2" t="s">
        <v>91</v>
      </c>
      <c r="F62" s="2">
        <f>12*60*60*1000</f>
        <v>43200000</v>
      </c>
      <c r="G62" s="2" t="s">
        <v>92</v>
      </c>
      <c r="H62"/>
      <c r="I62"/>
      <c r="J62"/>
      <c r="K62"/>
      <c r="L62"/>
    </row>
    <row r="63" spans="1:12" s="2" customFormat="1" x14ac:dyDescent="0.25">
      <c r="A63">
        <f t="shared" si="0"/>
        <v>192</v>
      </c>
      <c r="B63" s="2">
        <v>4</v>
      </c>
      <c r="C63" s="2" t="s">
        <v>16</v>
      </c>
      <c r="D63" s="2">
        <f t="shared" ref="D63" si="4">D62</f>
        <v>2</v>
      </c>
      <c r="E63" s="2" t="s">
        <v>93</v>
      </c>
      <c r="F63" s="2">
        <f>25*60*1000</f>
        <v>1500000</v>
      </c>
      <c r="G63" s="2" t="s">
        <v>94</v>
      </c>
      <c r="H63"/>
      <c r="I63"/>
      <c r="J63"/>
      <c r="K63"/>
      <c r="L63"/>
    </row>
    <row r="64" spans="1:12" s="2" customFormat="1" x14ac:dyDescent="0.25">
      <c r="A64">
        <f t="shared" si="0"/>
        <v>196</v>
      </c>
      <c r="B64" s="2">
        <v>4</v>
      </c>
      <c r="C64" s="2" t="s">
        <v>16</v>
      </c>
      <c r="D64" s="2">
        <f>D65</f>
        <v>2</v>
      </c>
      <c r="E64" s="2" t="s">
        <v>95</v>
      </c>
      <c r="F64" s="2">
        <v>120000</v>
      </c>
      <c r="G64" s="2" t="s">
        <v>96</v>
      </c>
      <c r="H64"/>
      <c r="I64"/>
      <c r="J64"/>
      <c r="K64"/>
      <c r="L64"/>
    </row>
    <row r="65" spans="1:12" s="2" customFormat="1" x14ac:dyDescent="0.25">
      <c r="A65">
        <f t="shared" si="0"/>
        <v>200</v>
      </c>
      <c r="B65" s="2">
        <v>1</v>
      </c>
      <c r="C65" s="2" t="s">
        <v>8</v>
      </c>
      <c r="D65" s="2">
        <f>D63</f>
        <v>2</v>
      </c>
      <c r="E65" s="2" t="s">
        <v>97</v>
      </c>
      <c r="F65" s="2">
        <v>5</v>
      </c>
      <c r="G65" s="2" t="s">
        <v>98</v>
      </c>
      <c r="H65"/>
      <c r="I65"/>
      <c r="J65"/>
      <c r="K65"/>
      <c r="L65"/>
    </row>
    <row r="66" spans="1:12" s="2" customFormat="1" x14ac:dyDescent="0.25">
      <c r="A66">
        <f t="shared" si="0"/>
        <v>201</v>
      </c>
      <c r="B66" s="2">
        <v>1</v>
      </c>
      <c r="C66" s="2" t="s">
        <v>8</v>
      </c>
      <c r="D66" s="2">
        <f>D64</f>
        <v>2</v>
      </c>
      <c r="E66" s="2" t="s">
        <v>99</v>
      </c>
      <c r="F66" s="2">
        <v>1</v>
      </c>
      <c r="G66" s="3" t="s">
        <v>100</v>
      </c>
      <c r="H66"/>
      <c r="I66"/>
      <c r="J66"/>
      <c r="K66"/>
      <c r="L66"/>
    </row>
    <row r="67" spans="1:12" s="2" customFormat="1" x14ac:dyDescent="0.25">
      <c r="A67">
        <f t="shared" ref="A67:A130" si="5">A66+B66</f>
        <v>202</v>
      </c>
      <c r="B67" s="2">
        <v>1</v>
      </c>
      <c r="C67" s="2" t="s">
        <v>8</v>
      </c>
      <c r="D67" s="2">
        <f t="shared" ref="D67:D71" si="6">D66</f>
        <v>2</v>
      </c>
      <c r="E67" s="2" t="s">
        <v>101</v>
      </c>
      <c r="F67" s="2">
        <v>1</v>
      </c>
      <c r="G67" s="2" t="s">
        <v>102</v>
      </c>
      <c r="H67"/>
      <c r="I67"/>
      <c r="J67"/>
      <c r="K67"/>
      <c r="L67"/>
    </row>
    <row r="68" spans="1:12" s="2" customFormat="1" x14ac:dyDescent="0.25">
      <c r="A68">
        <f t="shared" si="5"/>
        <v>203</v>
      </c>
      <c r="B68" s="2">
        <v>1</v>
      </c>
      <c r="C68" s="2" t="s">
        <v>8</v>
      </c>
      <c r="D68" s="2">
        <f t="shared" si="6"/>
        <v>2</v>
      </c>
      <c r="E68" s="2" t="s">
        <v>103</v>
      </c>
      <c r="F68" s="2">
        <v>2</v>
      </c>
      <c r="G68" s="2" t="s">
        <v>104</v>
      </c>
      <c r="H68"/>
      <c r="I68"/>
      <c r="J68"/>
      <c r="K68"/>
      <c r="L68"/>
    </row>
    <row r="69" spans="1:12" s="2" customFormat="1" x14ac:dyDescent="0.25">
      <c r="A69">
        <f t="shared" si="5"/>
        <v>204</v>
      </c>
      <c r="B69" s="2">
        <v>2</v>
      </c>
      <c r="C69" s="2" t="s">
        <v>64</v>
      </c>
      <c r="D69" s="2">
        <f t="shared" si="6"/>
        <v>2</v>
      </c>
      <c r="E69" s="2" t="s">
        <v>105</v>
      </c>
      <c r="F69" s="2">
        <v>1600</v>
      </c>
      <c r="G69" s="2" t="s">
        <v>106</v>
      </c>
      <c r="H69"/>
      <c r="I69"/>
      <c r="J69"/>
      <c r="K69"/>
      <c r="L69"/>
    </row>
    <row r="70" spans="1:12" s="2" customFormat="1" x14ac:dyDescent="0.25">
      <c r="A70">
        <f t="shared" si="5"/>
        <v>206</v>
      </c>
      <c r="B70" s="2">
        <v>2</v>
      </c>
      <c r="C70" s="2" t="s">
        <v>64</v>
      </c>
      <c r="D70" s="2">
        <f t="shared" si="6"/>
        <v>2</v>
      </c>
      <c r="E70" s="2" t="s">
        <v>107</v>
      </c>
      <c r="F70" s="2">
        <v>1600</v>
      </c>
      <c r="G70" s="2" t="s">
        <v>108</v>
      </c>
      <c r="H70"/>
      <c r="I70"/>
      <c r="J70"/>
      <c r="K70"/>
      <c r="L70"/>
    </row>
    <row r="71" spans="1:12" x14ac:dyDescent="0.25">
      <c r="A71">
        <f t="shared" si="5"/>
        <v>208</v>
      </c>
      <c r="B71" s="2">
        <v>4</v>
      </c>
      <c r="C71" s="2" t="s">
        <v>16</v>
      </c>
      <c r="D71" s="2">
        <f t="shared" si="6"/>
        <v>2</v>
      </c>
      <c r="E71" s="2" t="s">
        <v>109</v>
      </c>
      <c r="F71" s="2">
        <v>1000</v>
      </c>
      <c r="G71" s="2" t="s">
        <v>110</v>
      </c>
    </row>
    <row r="72" spans="1:12" x14ac:dyDescent="0.25">
      <c r="A72">
        <f t="shared" si="5"/>
        <v>212</v>
      </c>
      <c r="B72">
        <v>4</v>
      </c>
      <c r="C72" t="s">
        <v>16</v>
      </c>
      <c r="D72">
        <f>D61+1</f>
        <v>3</v>
      </c>
      <c r="E72" t="s">
        <v>89</v>
      </c>
      <c r="F72" s="4">
        <f>0*60*1000</f>
        <v>0</v>
      </c>
      <c r="G72" t="s">
        <v>90</v>
      </c>
    </row>
    <row r="73" spans="1:12" x14ac:dyDescent="0.25">
      <c r="A73">
        <f t="shared" si="5"/>
        <v>216</v>
      </c>
      <c r="B73">
        <v>4</v>
      </c>
      <c r="C73" t="s">
        <v>16</v>
      </c>
      <c r="D73">
        <f>D72</f>
        <v>3</v>
      </c>
      <c r="E73" t="s">
        <v>91</v>
      </c>
      <c r="F73">
        <f>12*3600*1000+1</f>
        <v>43200001</v>
      </c>
      <c r="G73" t="s">
        <v>92</v>
      </c>
    </row>
    <row r="74" spans="1:12" x14ac:dyDescent="0.25">
      <c r="A74">
        <f t="shared" si="5"/>
        <v>220</v>
      </c>
      <c r="B74">
        <v>4</v>
      </c>
      <c r="C74" t="s">
        <v>16</v>
      </c>
      <c r="D74">
        <f t="shared" ref="D74" si="7">D73</f>
        <v>3</v>
      </c>
      <c r="E74" t="s">
        <v>93</v>
      </c>
      <c r="F74" s="6">
        <f>25*60*1000</f>
        <v>1500000</v>
      </c>
      <c r="G74" t="s">
        <v>94</v>
      </c>
    </row>
    <row r="75" spans="1:12" x14ac:dyDescent="0.25">
      <c r="A75">
        <f t="shared" si="5"/>
        <v>224</v>
      </c>
      <c r="B75">
        <v>4</v>
      </c>
      <c r="C75" t="s">
        <v>16</v>
      </c>
      <c r="D75">
        <f>D76</f>
        <v>3</v>
      </c>
      <c r="E75" t="s">
        <v>95</v>
      </c>
      <c r="F75">
        <v>0</v>
      </c>
      <c r="G75" t="s">
        <v>96</v>
      </c>
    </row>
    <row r="76" spans="1:12" x14ac:dyDescent="0.25">
      <c r="A76">
        <f t="shared" si="5"/>
        <v>228</v>
      </c>
      <c r="B76">
        <v>1</v>
      </c>
      <c r="C76" t="s">
        <v>8</v>
      </c>
      <c r="D76">
        <f>D74</f>
        <v>3</v>
      </c>
      <c r="E76" t="s">
        <v>97</v>
      </c>
      <c r="F76">
        <v>0</v>
      </c>
      <c r="G76" t="s">
        <v>98</v>
      </c>
    </row>
    <row r="77" spans="1:12" x14ac:dyDescent="0.25">
      <c r="A77">
        <f t="shared" si="5"/>
        <v>229</v>
      </c>
      <c r="B77">
        <v>1</v>
      </c>
      <c r="C77" t="s">
        <v>8</v>
      </c>
      <c r="D77">
        <f>D75</f>
        <v>3</v>
      </c>
      <c r="E77" t="s">
        <v>99</v>
      </c>
      <c r="F77">
        <v>0</v>
      </c>
      <c r="G77" s="1" t="s">
        <v>100</v>
      </c>
    </row>
    <row r="78" spans="1:12" x14ac:dyDescent="0.25">
      <c r="A78">
        <f t="shared" si="5"/>
        <v>230</v>
      </c>
      <c r="B78">
        <v>1</v>
      </c>
      <c r="C78" t="s">
        <v>8</v>
      </c>
      <c r="D78">
        <f t="shared" ref="D78:D82" si="8">D77</f>
        <v>3</v>
      </c>
      <c r="E78" t="s">
        <v>101</v>
      </c>
      <c r="F78">
        <v>1</v>
      </c>
      <c r="G78" t="s">
        <v>102</v>
      </c>
    </row>
    <row r="79" spans="1:12" x14ac:dyDescent="0.25">
      <c r="A79">
        <f t="shared" si="5"/>
        <v>231</v>
      </c>
      <c r="B79">
        <v>1</v>
      </c>
      <c r="C79" t="s">
        <v>8</v>
      </c>
      <c r="D79">
        <f t="shared" si="8"/>
        <v>3</v>
      </c>
      <c r="E79" t="s">
        <v>103</v>
      </c>
      <c r="F79">
        <v>1</v>
      </c>
      <c r="G79" t="s">
        <v>104</v>
      </c>
    </row>
    <row r="80" spans="1:12" x14ac:dyDescent="0.25">
      <c r="A80">
        <f t="shared" si="5"/>
        <v>232</v>
      </c>
      <c r="B80">
        <v>2</v>
      </c>
      <c r="C80" t="s">
        <v>64</v>
      </c>
      <c r="D80">
        <f t="shared" si="8"/>
        <v>3</v>
      </c>
      <c r="E80" t="s">
        <v>105</v>
      </c>
      <c r="F80">
        <v>0</v>
      </c>
      <c r="G80" t="s">
        <v>106</v>
      </c>
    </row>
    <row r="81" spans="1:12" x14ac:dyDescent="0.25">
      <c r="A81">
        <f t="shared" si="5"/>
        <v>234</v>
      </c>
      <c r="B81">
        <v>2</v>
      </c>
      <c r="C81" t="s">
        <v>64</v>
      </c>
      <c r="D81">
        <f t="shared" si="8"/>
        <v>3</v>
      </c>
      <c r="E81" t="s">
        <v>107</v>
      </c>
      <c r="F81">
        <v>0</v>
      </c>
      <c r="G81" t="s">
        <v>108</v>
      </c>
    </row>
    <row r="82" spans="1:12" s="2" customFormat="1" x14ac:dyDescent="0.25">
      <c r="A82">
        <f t="shared" si="5"/>
        <v>236</v>
      </c>
      <c r="B82">
        <v>4</v>
      </c>
      <c r="C82" t="s">
        <v>16</v>
      </c>
      <c r="D82">
        <f t="shared" si="8"/>
        <v>3</v>
      </c>
      <c r="E82" t="s">
        <v>109</v>
      </c>
      <c r="F82">
        <v>0</v>
      </c>
      <c r="G82" t="s">
        <v>110</v>
      </c>
      <c r="H82"/>
      <c r="I82"/>
      <c r="J82"/>
      <c r="K82"/>
      <c r="L82"/>
    </row>
    <row r="83" spans="1:12" s="2" customFormat="1" x14ac:dyDescent="0.25">
      <c r="A83">
        <f t="shared" si="5"/>
        <v>240</v>
      </c>
      <c r="B83" s="2">
        <v>4</v>
      </c>
      <c r="C83" s="2" t="s">
        <v>16</v>
      </c>
      <c r="D83" s="2">
        <f>D72+1</f>
        <v>4</v>
      </c>
      <c r="E83" s="2" t="s">
        <v>89</v>
      </c>
      <c r="F83" s="2">
        <v>0</v>
      </c>
      <c r="G83" s="2" t="s">
        <v>90</v>
      </c>
      <c r="H83"/>
      <c r="I83"/>
      <c r="J83"/>
      <c r="K83"/>
      <c r="L83"/>
    </row>
    <row r="84" spans="1:12" s="2" customFormat="1" x14ac:dyDescent="0.25">
      <c r="A84">
        <f t="shared" si="5"/>
        <v>244</v>
      </c>
      <c r="B84" s="2">
        <v>4</v>
      </c>
      <c r="C84" s="2" t="s">
        <v>16</v>
      </c>
      <c r="D84" s="2">
        <f>D83</f>
        <v>4</v>
      </c>
      <c r="E84" s="2" t="s">
        <v>91</v>
      </c>
      <c r="F84" s="2">
        <v>0</v>
      </c>
      <c r="G84" s="2" t="s">
        <v>92</v>
      </c>
      <c r="H84"/>
      <c r="I84"/>
      <c r="J84"/>
      <c r="K84"/>
      <c r="L84"/>
    </row>
    <row r="85" spans="1:12" s="2" customFormat="1" x14ac:dyDescent="0.25">
      <c r="A85">
        <f t="shared" si="5"/>
        <v>248</v>
      </c>
      <c r="B85" s="2">
        <v>4</v>
      </c>
      <c r="C85" s="2" t="s">
        <v>16</v>
      </c>
      <c r="D85" s="2">
        <f t="shared" ref="D85" si="9">D84</f>
        <v>4</v>
      </c>
      <c r="E85" s="2" t="s">
        <v>93</v>
      </c>
      <c r="F85" s="2">
        <v>0</v>
      </c>
      <c r="G85" s="2" t="s">
        <v>94</v>
      </c>
      <c r="H85"/>
      <c r="I85"/>
      <c r="J85"/>
      <c r="K85"/>
      <c r="L85"/>
    </row>
    <row r="86" spans="1:12" s="2" customFormat="1" x14ac:dyDescent="0.25">
      <c r="A86">
        <f t="shared" si="5"/>
        <v>252</v>
      </c>
      <c r="B86" s="2">
        <v>4</v>
      </c>
      <c r="C86" s="2" t="s">
        <v>16</v>
      </c>
      <c r="D86" s="2">
        <f>D87</f>
        <v>4</v>
      </c>
      <c r="E86" s="2" t="s">
        <v>95</v>
      </c>
      <c r="F86" s="2">
        <v>0</v>
      </c>
      <c r="G86" s="2" t="s">
        <v>96</v>
      </c>
      <c r="H86"/>
      <c r="I86"/>
      <c r="J86"/>
      <c r="K86"/>
      <c r="L86"/>
    </row>
    <row r="87" spans="1:12" s="2" customFormat="1" x14ac:dyDescent="0.25">
      <c r="A87">
        <f t="shared" si="5"/>
        <v>256</v>
      </c>
      <c r="B87" s="2">
        <v>1</v>
      </c>
      <c r="C87" s="2" t="s">
        <v>8</v>
      </c>
      <c r="D87" s="2">
        <f>D85</f>
        <v>4</v>
      </c>
      <c r="E87" s="2" t="s">
        <v>97</v>
      </c>
      <c r="F87" s="2">
        <v>0</v>
      </c>
      <c r="G87" s="2" t="s">
        <v>98</v>
      </c>
      <c r="H87"/>
      <c r="I87"/>
      <c r="J87"/>
      <c r="K87"/>
      <c r="L87"/>
    </row>
    <row r="88" spans="1:12" s="2" customFormat="1" x14ac:dyDescent="0.25">
      <c r="A88">
        <f t="shared" si="5"/>
        <v>257</v>
      </c>
      <c r="B88" s="2">
        <v>1</v>
      </c>
      <c r="C88" s="2" t="s">
        <v>8</v>
      </c>
      <c r="D88" s="2">
        <f>D86</f>
        <v>4</v>
      </c>
      <c r="E88" s="2" t="s">
        <v>99</v>
      </c>
      <c r="F88" s="2">
        <v>0</v>
      </c>
      <c r="G88" s="3" t="s">
        <v>100</v>
      </c>
      <c r="H88"/>
      <c r="I88"/>
      <c r="J88"/>
      <c r="K88"/>
      <c r="L88"/>
    </row>
    <row r="89" spans="1:12" s="2" customFormat="1" x14ac:dyDescent="0.25">
      <c r="A89">
        <f t="shared" si="5"/>
        <v>258</v>
      </c>
      <c r="B89" s="2">
        <v>1</v>
      </c>
      <c r="C89" s="2" t="s">
        <v>8</v>
      </c>
      <c r="D89" s="2">
        <f t="shared" ref="D89:D93" si="10">D88</f>
        <v>4</v>
      </c>
      <c r="E89" s="2" t="s">
        <v>101</v>
      </c>
      <c r="F89" s="2">
        <v>0</v>
      </c>
      <c r="G89" s="2" t="s">
        <v>102</v>
      </c>
      <c r="H89"/>
      <c r="I89"/>
      <c r="J89"/>
      <c r="K89"/>
      <c r="L89"/>
    </row>
    <row r="90" spans="1:12" s="2" customFormat="1" x14ac:dyDescent="0.25">
      <c r="A90">
        <f t="shared" si="5"/>
        <v>259</v>
      </c>
      <c r="B90" s="2">
        <v>1</v>
      </c>
      <c r="C90" s="2" t="s">
        <v>8</v>
      </c>
      <c r="D90" s="2">
        <f t="shared" si="10"/>
        <v>4</v>
      </c>
      <c r="E90" s="2" t="s">
        <v>103</v>
      </c>
      <c r="F90" s="2">
        <v>0</v>
      </c>
      <c r="G90" s="2" t="s">
        <v>104</v>
      </c>
      <c r="H90"/>
      <c r="I90"/>
      <c r="J90"/>
      <c r="K90"/>
      <c r="L90"/>
    </row>
    <row r="91" spans="1:12" s="2" customFormat="1" x14ac:dyDescent="0.25">
      <c r="A91">
        <f t="shared" si="5"/>
        <v>260</v>
      </c>
      <c r="B91" s="2">
        <v>2</v>
      </c>
      <c r="C91" s="2" t="s">
        <v>64</v>
      </c>
      <c r="D91" s="2">
        <f t="shared" si="10"/>
        <v>4</v>
      </c>
      <c r="E91" s="2" t="s">
        <v>105</v>
      </c>
      <c r="F91" s="2">
        <v>0</v>
      </c>
      <c r="G91" s="2" t="s">
        <v>106</v>
      </c>
      <c r="H91"/>
      <c r="I91"/>
      <c r="J91"/>
      <c r="K91"/>
      <c r="L91"/>
    </row>
    <row r="92" spans="1:12" s="2" customFormat="1" x14ac:dyDescent="0.25">
      <c r="A92">
        <f t="shared" si="5"/>
        <v>262</v>
      </c>
      <c r="B92" s="2">
        <v>2</v>
      </c>
      <c r="C92" s="2" t="s">
        <v>64</v>
      </c>
      <c r="D92" s="2">
        <f t="shared" si="10"/>
        <v>4</v>
      </c>
      <c r="E92" s="2" t="s">
        <v>107</v>
      </c>
      <c r="F92" s="2">
        <v>0</v>
      </c>
      <c r="G92" s="2" t="s">
        <v>108</v>
      </c>
      <c r="H92"/>
      <c r="I92"/>
      <c r="J92"/>
      <c r="K92"/>
      <c r="L92"/>
    </row>
    <row r="93" spans="1:12" x14ac:dyDescent="0.25">
      <c r="A93">
        <f t="shared" si="5"/>
        <v>264</v>
      </c>
      <c r="B93" s="2">
        <v>4</v>
      </c>
      <c r="C93" s="2" t="s">
        <v>16</v>
      </c>
      <c r="D93" s="2">
        <f t="shared" si="10"/>
        <v>4</v>
      </c>
      <c r="E93" s="2" t="s">
        <v>109</v>
      </c>
      <c r="F93" s="2">
        <v>0</v>
      </c>
      <c r="G93" s="2" t="s">
        <v>110</v>
      </c>
    </row>
    <row r="94" spans="1:12" x14ac:dyDescent="0.25">
      <c r="A94">
        <f t="shared" si="5"/>
        <v>268</v>
      </c>
      <c r="B94">
        <v>4</v>
      </c>
      <c r="C94" t="s">
        <v>16</v>
      </c>
      <c r="D94">
        <f>D83+1</f>
        <v>5</v>
      </c>
      <c r="E94" t="s">
        <v>89</v>
      </c>
      <c r="F94">
        <v>0</v>
      </c>
      <c r="G94" t="s">
        <v>90</v>
      </c>
    </row>
    <row r="95" spans="1:12" x14ac:dyDescent="0.25">
      <c r="A95">
        <f t="shared" si="5"/>
        <v>272</v>
      </c>
      <c r="B95">
        <v>4</v>
      </c>
      <c r="C95" t="s">
        <v>16</v>
      </c>
      <c r="D95">
        <f>D94</f>
        <v>5</v>
      </c>
      <c r="E95" t="s">
        <v>91</v>
      </c>
      <c r="F95">
        <v>0</v>
      </c>
      <c r="G95" t="s">
        <v>92</v>
      </c>
    </row>
    <row r="96" spans="1:12" x14ac:dyDescent="0.25">
      <c r="A96">
        <f t="shared" si="5"/>
        <v>276</v>
      </c>
      <c r="B96">
        <v>4</v>
      </c>
      <c r="C96" t="s">
        <v>16</v>
      </c>
      <c r="D96">
        <f t="shared" ref="D96" si="11">D95</f>
        <v>5</v>
      </c>
      <c r="E96" t="s">
        <v>93</v>
      </c>
      <c r="F96">
        <v>0</v>
      </c>
      <c r="G96" t="s">
        <v>94</v>
      </c>
    </row>
    <row r="97" spans="1:12" x14ac:dyDescent="0.25">
      <c r="A97">
        <f t="shared" si="5"/>
        <v>280</v>
      </c>
      <c r="B97">
        <v>4</v>
      </c>
      <c r="C97" t="s">
        <v>16</v>
      </c>
      <c r="D97">
        <f>D98</f>
        <v>5</v>
      </c>
      <c r="E97" t="s">
        <v>95</v>
      </c>
      <c r="F97">
        <v>0</v>
      </c>
      <c r="G97" t="s">
        <v>96</v>
      </c>
    </row>
    <row r="98" spans="1:12" x14ac:dyDescent="0.25">
      <c r="A98">
        <f t="shared" si="5"/>
        <v>284</v>
      </c>
      <c r="B98">
        <v>1</v>
      </c>
      <c r="C98" t="s">
        <v>8</v>
      </c>
      <c r="D98">
        <f>D96</f>
        <v>5</v>
      </c>
      <c r="E98" t="s">
        <v>97</v>
      </c>
      <c r="F98">
        <v>0</v>
      </c>
      <c r="G98" t="s">
        <v>98</v>
      </c>
    </row>
    <row r="99" spans="1:12" x14ac:dyDescent="0.25">
      <c r="A99">
        <f t="shared" si="5"/>
        <v>285</v>
      </c>
      <c r="B99">
        <v>1</v>
      </c>
      <c r="C99" t="s">
        <v>8</v>
      </c>
      <c r="D99">
        <f>D97</f>
        <v>5</v>
      </c>
      <c r="E99" t="s">
        <v>99</v>
      </c>
      <c r="F99">
        <v>0</v>
      </c>
      <c r="G99" s="1" t="s">
        <v>100</v>
      </c>
    </row>
    <row r="100" spans="1:12" x14ac:dyDescent="0.25">
      <c r="A100">
        <f t="shared" si="5"/>
        <v>286</v>
      </c>
      <c r="B100">
        <v>1</v>
      </c>
      <c r="C100" t="s">
        <v>8</v>
      </c>
      <c r="D100">
        <f t="shared" ref="D100:D104" si="12">D99</f>
        <v>5</v>
      </c>
      <c r="E100" t="s">
        <v>101</v>
      </c>
      <c r="F100">
        <v>0</v>
      </c>
      <c r="G100" t="s">
        <v>102</v>
      </c>
    </row>
    <row r="101" spans="1:12" x14ac:dyDescent="0.25">
      <c r="A101">
        <f t="shared" si="5"/>
        <v>287</v>
      </c>
      <c r="B101">
        <v>1</v>
      </c>
      <c r="C101" t="s">
        <v>8</v>
      </c>
      <c r="D101">
        <f t="shared" si="12"/>
        <v>5</v>
      </c>
      <c r="E101" t="s">
        <v>103</v>
      </c>
      <c r="F101">
        <v>0</v>
      </c>
      <c r="G101" t="s">
        <v>104</v>
      </c>
    </row>
    <row r="102" spans="1:12" x14ac:dyDescent="0.25">
      <c r="A102">
        <f t="shared" si="5"/>
        <v>288</v>
      </c>
      <c r="B102">
        <v>2</v>
      </c>
      <c r="C102" t="s">
        <v>64</v>
      </c>
      <c r="D102">
        <f t="shared" si="12"/>
        <v>5</v>
      </c>
      <c r="E102" t="s">
        <v>105</v>
      </c>
      <c r="F102">
        <v>0</v>
      </c>
      <c r="G102" t="s">
        <v>106</v>
      </c>
    </row>
    <row r="103" spans="1:12" x14ac:dyDescent="0.25">
      <c r="A103">
        <f t="shared" si="5"/>
        <v>290</v>
      </c>
      <c r="B103">
        <v>2</v>
      </c>
      <c r="C103" t="s">
        <v>64</v>
      </c>
      <c r="D103">
        <f t="shared" si="12"/>
        <v>5</v>
      </c>
      <c r="E103" t="s">
        <v>107</v>
      </c>
      <c r="F103">
        <v>0</v>
      </c>
      <c r="G103" t="s">
        <v>108</v>
      </c>
    </row>
    <row r="104" spans="1:12" s="2" customFormat="1" x14ac:dyDescent="0.25">
      <c r="A104">
        <f t="shared" si="5"/>
        <v>292</v>
      </c>
      <c r="B104">
        <v>4</v>
      </c>
      <c r="C104" t="s">
        <v>16</v>
      </c>
      <c r="D104">
        <f t="shared" si="12"/>
        <v>5</v>
      </c>
      <c r="E104" t="s">
        <v>109</v>
      </c>
      <c r="F104">
        <v>0</v>
      </c>
      <c r="G104" t="s">
        <v>110</v>
      </c>
      <c r="H104"/>
      <c r="I104"/>
      <c r="J104"/>
      <c r="K104"/>
      <c r="L104"/>
    </row>
    <row r="105" spans="1:12" s="2" customFormat="1" x14ac:dyDescent="0.25">
      <c r="A105">
        <f t="shared" si="5"/>
        <v>296</v>
      </c>
      <c r="B105" s="2">
        <v>4</v>
      </c>
      <c r="C105" s="2" t="s">
        <v>16</v>
      </c>
      <c r="D105" s="2">
        <f>D94+1</f>
        <v>6</v>
      </c>
      <c r="E105" s="2" t="s">
        <v>89</v>
      </c>
      <c r="F105" s="2">
        <v>0</v>
      </c>
      <c r="G105" s="2" t="s">
        <v>90</v>
      </c>
      <c r="H105"/>
      <c r="I105"/>
      <c r="J105"/>
      <c r="K105"/>
      <c r="L105"/>
    </row>
    <row r="106" spans="1:12" s="2" customFormat="1" x14ac:dyDescent="0.25">
      <c r="A106">
        <f t="shared" si="5"/>
        <v>300</v>
      </c>
      <c r="B106" s="2">
        <v>4</v>
      </c>
      <c r="C106" s="2" t="s">
        <v>16</v>
      </c>
      <c r="D106" s="2">
        <f>D105</f>
        <v>6</v>
      </c>
      <c r="E106" s="2" t="s">
        <v>91</v>
      </c>
      <c r="F106" s="2">
        <v>0</v>
      </c>
      <c r="G106" s="2" t="s">
        <v>92</v>
      </c>
      <c r="H106"/>
      <c r="I106"/>
      <c r="J106"/>
      <c r="K106"/>
      <c r="L106"/>
    </row>
    <row r="107" spans="1:12" s="2" customFormat="1" x14ac:dyDescent="0.25">
      <c r="A107">
        <f t="shared" si="5"/>
        <v>304</v>
      </c>
      <c r="B107" s="2">
        <v>4</v>
      </c>
      <c r="C107" s="2" t="s">
        <v>16</v>
      </c>
      <c r="D107" s="2">
        <f t="shared" ref="D107" si="13">D106</f>
        <v>6</v>
      </c>
      <c r="E107" s="2" t="s">
        <v>93</v>
      </c>
      <c r="F107" s="2">
        <v>0</v>
      </c>
      <c r="G107" s="2" t="s">
        <v>94</v>
      </c>
      <c r="H107"/>
      <c r="I107"/>
      <c r="J107"/>
      <c r="K107"/>
      <c r="L107"/>
    </row>
    <row r="108" spans="1:12" s="2" customFormat="1" x14ac:dyDescent="0.25">
      <c r="A108">
        <f t="shared" si="5"/>
        <v>308</v>
      </c>
      <c r="B108" s="2">
        <v>4</v>
      </c>
      <c r="C108" s="2" t="s">
        <v>16</v>
      </c>
      <c r="D108" s="2">
        <f>D109</f>
        <v>6</v>
      </c>
      <c r="E108" s="2" t="s">
        <v>95</v>
      </c>
      <c r="F108" s="2">
        <v>0</v>
      </c>
      <c r="G108" s="2" t="s">
        <v>96</v>
      </c>
      <c r="H108"/>
      <c r="I108"/>
      <c r="J108"/>
      <c r="K108"/>
      <c r="L108"/>
    </row>
    <row r="109" spans="1:12" s="2" customFormat="1" x14ac:dyDescent="0.25">
      <c r="A109">
        <f t="shared" si="5"/>
        <v>312</v>
      </c>
      <c r="B109" s="2">
        <v>1</v>
      </c>
      <c r="C109" s="2" t="s">
        <v>8</v>
      </c>
      <c r="D109" s="2">
        <f>D107</f>
        <v>6</v>
      </c>
      <c r="E109" s="2" t="s">
        <v>97</v>
      </c>
      <c r="F109" s="2">
        <v>0</v>
      </c>
      <c r="G109" s="2" t="s">
        <v>98</v>
      </c>
      <c r="H109"/>
      <c r="I109"/>
      <c r="J109"/>
      <c r="K109"/>
      <c r="L109"/>
    </row>
    <row r="110" spans="1:12" s="2" customFormat="1" x14ac:dyDescent="0.25">
      <c r="A110">
        <f t="shared" si="5"/>
        <v>313</v>
      </c>
      <c r="B110" s="2">
        <v>1</v>
      </c>
      <c r="C110" s="2" t="s">
        <v>8</v>
      </c>
      <c r="D110" s="2">
        <f>D108</f>
        <v>6</v>
      </c>
      <c r="E110" s="2" t="s">
        <v>99</v>
      </c>
      <c r="F110" s="2">
        <v>0</v>
      </c>
      <c r="G110" s="3" t="s">
        <v>100</v>
      </c>
      <c r="H110"/>
      <c r="I110"/>
      <c r="J110"/>
      <c r="K110"/>
      <c r="L110"/>
    </row>
    <row r="111" spans="1:12" s="2" customFormat="1" x14ac:dyDescent="0.25">
      <c r="A111">
        <f t="shared" si="5"/>
        <v>314</v>
      </c>
      <c r="B111" s="2">
        <v>1</v>
      </c>
      <c r="C111" s="2" t="s">
        <v>8</v>
      </c>
      <c r="D111" s="2">
        <f t="shared" ref="D111:D115" si="14">D110</f>
        <v>6</v>
      </c>
      <c r="E111" s="2" t="s">
        <v>101</v>
      </c>
      <c r="F111" s="2">
        <v>0</v>
      </c>
      <c r="G111" s="2" t="s">
        <v>102</v>
      </c>
      <c r="H111"/>
      <c r="I111"/>
      <c r="J111"/>
      <c r="K111"/>
      <c r="L111"/>
    </row>
    <row r="112" spans="1:12" s="2" customFormat="1" x14ac:dyDescent="0.25">
      <c r="A112">
        <f t="shared" si="5"/>
        <v>315</v>
      </c>
      <c r="B112" s="2">
        <v>1</v>
      </c>
      <c r="C112" s="2" t="s">
        <v>8</v>
      </c>
      <c r="D112" s="2">
        <f t="shared" si="14"/>
        <v>6</v>
      </c>
      <c r="E112" s="2" t="s">
        <v>103</v>
      </c>
      <c r="F112" s="2">
        <v>0</v>
      </c>
      <c r="G112" s="2" t="s">
        <v>104</v>
      </c>
      <c r="H112"/>
      <c r="I112"/>
      <c r="J112"/>
      <c r="K112"/>
      <c r="L112"/>
    </row>
    <row r="113" spans="1:12" s="2" customFormat="1" x14ac:dyDescent="0.25">
      <c r="A113">
        <f t="shared" si="5"/>
        <v>316</v>
      </c>
      <c r="B113" s="2">
        <v>2</v>
      </c>
      <c r="C113" s="2" t="s">
        <v>64</v>
      </c>
      <c r="D113" s="2">
        <f t="shared" si="14"/>
        <v>6</v>
      </c>
      <c r="E113" s="2" t="s">
        <v>105</v>
      </c>
      <c r="F113" s="2">
        <v>0</v>
      </c>
      <c r="G113" s="2" t="s">
        <v>106</v>
      </c>
      <c r="H113"/>
      <c r="I113"/>
      <c r="J113"/>
      <c r="K113"/>
      <c r="L113"/>
    </row>
    <row r="114" spans="1:12" s="2" customFormat="1" x14ac:dyDescent="0.25">
      <c r="A114">
        <f t="shared" si="5"/>
        <v>318</v>
      </c>
      <c r="B114" s="2">
        <v>2</v>
      </c>
      <c r="C114" s="2" t="s">
        <v>64</v>
      </c>
      <c r="D114" s="2">
        <f t="shared" si="14"/>
        <v>6</v>
      </c>
      <c r="E114" s="2" t="s">
        <v>107</v>
      </c>
      <c r="F114" s="2">
        <v>0</v>
      </c>
      <c r="G114" s="2" t="s">
        <v>108</v>
      </c>
      <c r="H114"/>
      <c r="I114"/>
      <c r="J114"/>
      <c r="K114"/>
      <c r="L114"/>
    </row>
    <row r="115" spans="1:12" x14ac:dyDescent="0.25">
      <c r="A115">
        <f t="shared" si="5"/>
        <v>320</v>
      </c>
      <c r="B115" s="2">
        <v>4</v>
      </c>
      <c r="C115" s="2" t="s">
        <v>16</v>
      </c>
      <c r="D115" s="2">
        <f t="shared" si="14"/>
        <v>6</v>
      </c>
      <c r="E115" s="2" t="s">
        <v>109</v>
      </c>
      <c r="F115" s="2">
        <v>0</v>
      </c>
      <c r="G115" s="2" t="s">
        <v>110</v>
      </c>
    </row>
    <row r="116" spans="1:12" x14ac:dyDescent="0.25">
      <c r="A116">
        <f t="shared" si="5"/>
        <v>324</v>
      </c>
      <c r="B116">
        <v>4</v>
      </c>
      <c r="C116" t="s">
        <v>16</v>
      </c>
      <c r="D116">
        <f>D105+1</f>
        <v>7</v>
      </c>
      <c r="E116" t="s">
        <v>89</v>
      </c>
      <c r="F116">
        <v>0</v>
      </c>
      <c r="G116" t="s">
        <v>90</v>
      </c>
    </row>
    <row r="117" spans="1:12" x14ac:dyDescent="0.25">
      <c r="A117">
        <f t="shared" si="5"/>
        <v>328</v>
      </c>
      <c r="B117">
        <v>4</v>
      </c>
      <c r="C117" t="s">
        <v>16</v>
      </c>
      <c r="D117">
        <f>D116</f>
        <v>7</v>
      </c>
      <c r="E117" t="s">
        <v>91</v>
      </c>
      <c r="F117">
        <v>0</v>
      </c>
      <c r="G117" t="s">
        <v>92</v>
      </c>
    </row>
    <row r="118" spans="1:12" x14ac:dyDescent="0.25">
      <c r="A118">
        <f t="shared" si="5"/>
        <v>332</v>
      </c>
      <c r="B118">
        <v>4</v>
      </c>
      <c r="C118" t="s">
        <v>16</v>
      </c>
      <c r="D118">
        <f t="shared" ref="D118" si="15">D117</f>
        <v>7</v>
      </c>
      <c r="E118" t="s">
        <v>93</v>
      </c>
      <c r="F118">
        <v>0</v>
      </c>
      <c r="G118" t="s">
        <v>94</v>
      </c>
    </row>
    <row r="119" spans="1:12" x14ac:dyDescent="0.25">
      <c r="A119">
        <f t="shared" si="5"/>
        <v>336</v>
      </c>
      <c r="B119">
        <v>4</v>
      </c>
      <c r="C119" t="s">
        <v>16</v>
      </c>
      <c r="D119">
        <f>D120</f>
        <v>7</v>
      </c>
      <c r="E119" t="s">
        <v>95</v>
      </c>
      <c r="F119">
        <v>0</v>
      </c>
      <c r="G119" t="s">
        <v>96</v>
      </c>
    </row>
    <row r="120" spans="1:12" x14ac:dyDescent="0.25">
      <c r="A120">
        <f t="shared" si="5"/>
        <v>340</v>
      </c>
      <c r="B120">
        <v>1</v>
      </c>
      <c r="C120" t="s">
        <v>8</v>
      </c>
      <c r="D120">
        <f>D118</f>
        <v>7</v>
      </c>
      <c r="E120" t="s">
        <v>97</v>
      </c>
      <c r="F120">
        <v>0</v>
      </c>
      <c r="G120" t="s">
        <v>98</v>
      </c>
    </row>
    <row r="121" spans="1:12" x14ac:dyDescent="0.25">
      <c r="A121">
        <f t="shared" si="5"/>
        <v>341</v>
      </c>
      <c r="B121">
        <v>1</v>
      </c>
      <c r="C121" t="s">
        <v>8</v>
      </c>
      <c r="D121">
        <f>D119</f>
        <v>7</v>
      </c>
      <c r="E121" t="s">
        <v>99</v>
      </c>
      <c r="F121">
        <v>0</v>
      </c>
      <c r="G121" s="1" t="s">
        <v>100</v>
      </c>
    </row>
    <row r="122" spans="1:12" x14ac:dyDescent="0.25">
      <c r="A122">
        <f t="shared" si="5"/>
        <v>342</v>
      </c>
      <c r="B122">
        <v>1</v>
      </c>
      <c r="C122" t="s">
        <v>8</v>
      </c>
      <c r="D122">
        <f t="shared" ref="D122:D126" si="16">D121</f>
        <v>7</v>
      </c>
      <c r="E122" t="s">
        <v>101</v>
      </c>
      <c r="F122">
        <v>0</v>
      </c>
      <c r="G122" t="s">
        <v>102</v>
      </c>
    </row>
    <row r="123" spans="1:12" x14ac:dyDescent="0.25">
      <c r="A123">
        <f t="shared" si="5"/>
        <v>343</v>
      </c>
      <c r="B123">
        <v>1</v>
      </c>
      <c r="C123" t="s">
        <v>8</v>
      </c>
      <c r="D123">
        <f t="shared" si="16"/>
        <v>7</v>
      </c>
      <c r="E123" t="s">
        <v>103</v>
      </c>
      <c r="F123">
        <v>0</v>
      </c>
      <c r="G123" t="s">
        <v>104</v>
      </c>
    </row>
    <row r="124" spans="1:12" x14ac:dyDescent="0.25">
      <c r="A124">
        <f t="shared" si="5"/>
        <v>344</v>
      </c>
      <c r="B124">
        <v>2</v>
      </c>
      <c r="C124" t="s">
        <v>64</v>
      </c>
      <c r="D124">
        <f t="shared" si="16"/>
        <v>7</v>
      </c>
      <c r="E124" t="s">
        <v>105</v>
      </c>
      <c r="F124">
        <v>0</v>
      </c>
      <c r="G124" t="s">
        <v>106</v>
      </c>
    </row>
    <row r="125" spans="1:12" x14ac:dyDescent="0.25">
      <c r="A125">
        <f t="shared" si="5"/>
        <v>346</v>
      </c>
      <c r="B125">
        <v>2</v>
      </c>
      <c r="C125" t="s">
        <v>64</v>
      </c>
      <c r="D125">
        <f t="shared" si="16"/>
        <v>7</v>
      </c>
      <c r="E125" t="s">
        <v>107</v>
      </c>
      <c r="F125">
        <v>0</v>
      </c>
      <c r="G125" t="s">
        <v>108</v>
      </c>
    </row>
    <row r="126" spans="1:12" s="2" customFormat="1" x14ac:dyDescent="0.25">
      <c r="A126">
        <f t="shared" si="5"/>
        <v>348</v>
      </c>
      <c r="B126">
        <v>4</v>
      </c>
      <c r="C126" t="s">
        <v>16</v>
      </c>
      <c r="D126">
        <f t="shared" si="16"/>
        <v>7</v>
      </c>
      <c r="E126" t="s">
        <v>109</v>
      </c>
      <c r="F126">
        <v>0</v>
      </c>
      <c r="G126" t="s">
        <v>110</v>
      </c>
      <c r="H126"/>
      <c r="I126"/>
      <c r="J126"/>
      <c r="K126"/>
      <c r="L126"/>
    </row>
    <row r="127" spans="1:12" s="2" customFormat="1" x14ac:dyDescent="0.25">
      <c r="A127">
        <f t="shared" si="5"/>
        <v>352</v>
      </c>
      <c r="B127" s="2">
        <v>4</v>
      </c>
      <c r="C127" s="2" t="s">
        <v>16</v>
      </c>
      <c r="D127" s="2">
        <f>D116+1</f>
        <v>8</v>
      </c>
      <c r="E127" s="2" t="s">
        <v>89</v>
      </c>
      <c r="F127" s="2">
        <v>0</v>
      </c>
      <c r="G127" s="2" t="s">
        <v>90</v>
      </c>
      <c r="H127"/>
      <c r="I127"/>
      <c r="J127"/>
      <c r="K127"/>
      <c r="L127"/>
    </row>
    <row r="128" spans="1:12" s="2" customFormat="1" x14ac:dyDescent="0.25">
      <c r="A128">
        <f t="shared" si="5"/>
        <v>356</v>
      </c>
      <c r="B128" s="2">
        <v>4</v>
      </c>
      <c r="C128" s="2" t="s">
        <v>16</v>
      </c>
      <c r="D128" s="2">
        <f>D127</f>
        <v>8</v>
      </c>
      <c r="E128" s="2" t="s">
        <v>91</v>
      </c>
      <c r="F128" s="2">
        <v>0</v>
      </c>
      <c r="G128" s="2" t="s">
        <v>92</v>
      </c>
      <c r="H128"/>
      <c r="I128"/>
      <c r="J128"/>
      <c r="K128"/>
      <c r="L128"/>
    </row>
    <row r="129" spans="1:12" s="2" customFormat="1" x14ac:dyDescent="0.25">
      <c r="A129">
        <f t="shared" si="5"/>
        <v>360</v>
      </c>
      <c r="B129" s="2">
        <v>4</v>
      </c>
      <c r="C129" s="2" t="s">
        <v>16</v>
      </c>
      <c r="D129" s="2">
        <f t="shared" ref="D129" si="17">D128</f>
        <v>8</v>
      </c>
      <c r="E129" s="2" t="s">
        <v>93</v>
      </c>
      <c r="F129" s="2">
        <v>0</v>
      </c>
      <c r="G129" s="2" t="s">
        <v>94</v>
      </c>
      <c r="H129"/>
      <c r="I129"/>
      <c r="J129"/>
      <c r="K129"/>
      <c r="L129"/>
    </row>
    <row r="130" spans="1:12" s="2" customFormat="1" x14ac:dyDescent="0.25">
      <c r="A130">
        <f t="shared" si="5"/>
        <v>364</v>
      </c>
      <c r="B130" s="2">
        <v>4</v>
      </c>
      <c r="C130" s="2" t="s">
        <v>16</v>
      </c>
      <c r="D130" s="2">
        <f>D131</f>
        <v>8</v>
      </c>
      <c r="E130" s="2" t="s">
        <v>95</v>
      </c>
      <c r="F130" s="2">
        <v>0</v>
      </c>
      <c r="G130" s="2" t="s">
        <v>96</v>
      </c>
      <c r="H130"/>
      <c r="I130"/>
      <c r="J130"/>
      <c r="K130"/>
      <c r="L130"/>
    </row>
    <row r="131" spans="1:12" s="2" customFormat="1" x14ac:dyDescent="0.25">
      <c r="A131">
        <f t="shared" ref="A131:A148" si="18">A130+B130</f>
        <v>368</v>
      </c>
      <c r="B131" s="2">
        <v>1</v>
      </c>
      <c r="C131" s="2" t="s">
        <v>8</v>
      </c>
      <c r="D131" s="2">
        <f>D129</f>
        <v>8</v>
      </c>
      <c r="E131" s="2" t="s">
        <v>97</v>
      </c>
      <c r="F131" s="2">
        <v>0</v>
      </c>
      <c r="G131" s="2" t="s">
        <v>98</v>
      </c>
      <c r="H131"/>
      <c r="I131"/>
      <c r="J131"/>
      <c r="K131"/>
      <c r="L131"/>
    </row>
    <row r="132" spans="1:12" s="2" customFormat="1" x14ac:dyDescent="0.25">
      <c r="A132">
        <f t="shared" si="18"/>
        <v>369</v>
      </c>
      <c r="B132" s="2">
        <v>1</v>
      </c>
      <c r="C132" s="2" t="s">
        <v>8</v>
      </c>
      <c r="D132" s="2">
        <f>D130</f>
        <v>8</v>
      </c>
      <c r="E132" s="2" t="s">
        <v>99</v>
      </c>
      <c r="F132" s="2">
        <v>0</v>
      </c>
      <c r="G132" s="3" t="s">
        <v>100</v>
      </c>
      <c r="H132"/>
      <c r="I132"/>
      <c r="J132"/>
      <c r="K132"/>
      <c r="L132"/>
    </row>
    <row r="133" spans="1:12" s="2" customFormat="1" x14ac:dyDescent="0.25">
      <c r="A133">
        <f t="shared" si="18"/>
        <v>370</v>
      </c>
      <c r="B133" s="2">
        <v>1</v>
      </c>
      <c r="C133" s="2" t="s">
        <v>8</v>
      </c>
      <c r="D133" s="2">
        <f t="shared" ref="D133:D137" si="19">D132</f>
        <v>8</v>
      </c>
      <c r="E133" s="2" t="s">
        <v>101</v>
      </c>
      <c r="F133" s="2">
        <v>0</v>
      </c>
      <c r="G133" s="2" t="s">
        <v>102</v>
      </c>
      <c r="H133"/>
      <c r="I133"/>
      <c r="J133"/>
      <c r="K133"/>
      <c r="L133"/>
    </row>
    <row r="134" spans="1:12" s="2" customFormat="1" x14ac:dyDescent="0.25">
      <c r="A134">
        <f t="shared" si="18"/>
        <v>371</v>
      </c>
      <c r="B134" s="2">
        <v>1</v>
      </c>
      <c r="C134" s="2" t="s">
        <v>8</v>
      </c>
      <c r="D134" s="2">
        <f t="shared" si="19"/>
        <v>8</v>
      </c>
      <c r="E134" s="2" t="s">
        <v>103</v>
      </c>
      <c r="F134" s="2">
        <v>0</v>
      </c>
      <c r="G134" s="2" t="s">
        <v>104</v>
      </c>
      <c r="H134"/>
      <c r="I134"/>
      <c r="J134"/>
      <c r="K134"/>
      <c r="L134"/>
    </row>
    <row r="135" spans="1:12" s="2" customFormat="1" x14ac:dyDescent="0.25">
      <c r="A135">
        <f t="shared" si="18"/>
        <v>372</v>
      </c>
      <c r="B135" s="2">
        <v>2</v>
      </c>
      <c r="C135" s="2" t="s">
        <v>64</v>
      </c>
      <c r="D135" s="2">
        <f t="shared" si="19"/>
        <v>8</v>
      </c>
      <c r="E135" s="2" t="s">
        <v>105</v>
      </c>
      <c r="F135" s="2">
        <v>0</v>
      </c>
      <c r="G135" s="2" t="s">
        <v>106</v>
      </c>
      <c r="H135"/>
      <c r="I135"/>
      <c r="J135"/>
      <c r="K135"/>
      <c r="L135"/>
    </row>
    <row r="136" spans="1:12" s="2" customFormat="1" x14ac:dyDescent="0.25">
      <c r="A136">
        <f t="shared" si="18"/>
        <v>374</v>
      </c>
      <c r="B136" s="2">
        <v>2</v>
      </c>
      <c r="C136" s="2" t="s">
        <v>64</v>
      </c>
      <c r="D136" s="2">
        <f t="shared" si="19"/>
        <v>8</v>
      </c>
      <c r="E136" s="2" t="s">
        <v>107</v>
      </c>
      <c r="F136" s="2">
        <v>0</v>
      </c>
      <c r="G136" s="2" t="s">
        <v>108</v>
      </c>
      <c r="H136"/>
      <c r="I136"/>
      <c r="J136"/>
      <c r="K136"/>
      <c r="L136"/>
    </row>
    <row r="137" spans="1:12" x14ac:dyDescent="0.25">
      <c r="A137">
        <f t="shared" si="18"/>
        <v>376</v>
      </c>
      <c r="B137" s="2">
        <v>4</v>
      </c>
      <c r="C137" s="2" t="s">
        <v>16</v>
      </c>
      <c r="D137" s="2">
        <f t="shared" si="19"/>
        <v>8</v>
      </c>
      <c r="E137" s="2" t="s">
        <v>109</v>
      </c>
      <c r="F137" s="2">
        <v>0</v>
      </c>
      <c r="G137" s="2" t="s">
        <v>110</v>
      </c>
    </row>
    <row r="138" spans="1:12" x14ac:dyDescent="0.25">
      <c r="A138">
        <f t="shared" si="18"/>
        <v>380</v>
      </c>
      <c r="B138">
        <v>4</v>
      </c>
      <c r="C138" t="s">
        <v>16</v>
      </c>
      <c r="D138">
        <f>D127+1</f>
        <v>9</v>
      </c>
      <c r="E138" t="s">
        <v>89</v>
      </c>
      <c r="F138">
        <v>0</v>
      </c>
      <c r="G138" t="s">
        <v>90</v>
      </c>
    </row>
    <row r="139" spans="1:12" x14ac:dyDescent="0.25">
      <c r="A139">
        <f t="shared" si="18"/>
        <v>384</v>
      </c>
      <c r="B139">
        <v>4</v>
      </c>
      <c r="C139" t="s">
        <v>16</v>
      </c>
      <c r="D139">
        <f>D138</f>
        <v>9</v>
      </c>
      <c r="E139" t="s">
        <v>91</v>
      </c>
      <c r="F139">
        <v>0</v>
      </c>
      <c r="G139" t="s">
        <v>92</v>
      </c>
    </row>
    <row r="140" spans="1:12" x14ac:dyDescent="0.25">
      <c r="A140">
        <f t="shared" si="18"/>
        <v>388</v>
      </c>
      <c r="B140">
        <v>4</v>
      </c>
      <c r="C140" t="s">
        <v>16</v>
      </c>
      <c r="D140">
        <f t="shared" ref="D140" si="20">D139</f>
        <v>9</v>
      </c>
      <c r="E140" t="s">
        <v>93</v>
      </c>
      <c r="F140">
        <v>0</v>
      </c>
      <c r="G140" t="s">
        <v>94</v>
      </c>
    </row>
    <row r="141" spans="1:12" x14ac:dyDescent="0.25">
      <c r="A141">
        <f t="shared" si="18"/>
        <v>392</v>
      </c>
      <c r="B141">
        <v>4</v>
      </c>
      <c r="C141" t="s">
        <v>16</v>
      </c>
      <c r="D141">
        <f>D142</f>
        <v>9</v>
      </c>
      <c r="E141" t="s">
        <v>95</v>
      </c>
      <c r="F141">
        <v>0</v>
      </c>
      <c r="G141" t="s">
        <v>96</v>
      </c>
    </row>
    <row r="142" spans="1:12" x14ac:dyDescent="0.25">
      <c r="A142">
        <f t="shared" si="18"/>
        <v>396</v>
      </c>
      <c r="B142">
        <v>1</v>
      </c>
      <c r="C142" t="s">
        <v>8</v>
      </c>
      <c r="D142">
        <f>D140</f>
        <v>9</v>
      </c>
      <c r="E142" t="s">
        <v>97</v>
      </c>
      <c r="F142">
        <v>0</v>
      </c>
      <c r="G142" t="s">
        <v>98</v>
      </c>
    </row>
    <row r="143" spans="1:12" x14ac:dyDescent="0.25">
      <c r="A143">
        <f t="shared" si="18"/>
        <v>397</v>
      </c>
      <c r="B143">
        <v>1</v>
      </c>
      <c r="C143" t="s">
        <v>8</v>
      </c>
      <c r="D143">
        <f>D141</f>
        <v>9</v>
      </c>
      <c r="E143" t="s">
        <v>99</v>
      </c>
      <c r="F143">
        <v>0</v>
      </c>
      <c r="G143" s="1" t="s">
        <v>100</v>
      </c>
    </row>
    <row r="144" spans="1:12" x14ac:dyDescent="0.25">
      <c r="A144">
        <f t="shared" si="18"/>
        <v>398</v>
      </c>
      <c r="B144">
        <v>1</v>
      </c>
      <c r="C144" t="s">
        <v>8</v>
      </c>
      <c r="D144">
        <f t="shared" ref="D144:D148" si="21">D143</f>
        <v>9</v>
      </c>
      <c r="E144" t="s">
        <v>101</v>
      </c>
      <c r="F144">
        <v>0</v>
      </c>
      <c r="G144" t="s">
        <v>102</v>
      </c>
    </row>
    <row r="145" spans="1:7" x14ac:dyDescent="0.25">
      <c r="A145">
        <f t="shared" si="18"/>
        <v>399</v>
      </c>
      <c r="B145">
        <v>1</v>
      </c>
      <c r="C145" t="s">
        <v>8</v>
      </c>
      <c r="D145">
        <f t="shared" si="21"/>
        <v>9</v>
      </c>
      <c r="E145" t="s">
        <v>103</v>
      </c>
      <c r="F145">
        <v>0</v>
      </c>
      <c r="G145" t="s">
        <v>104</v>
      </c>
    </row>
    <row r="146" spans="1:7" x14ac:dyDescent="0.25">
      <c r="A146">
        <f t="shared" si="18"/>
        <v>400</v>
      </c>
      <c r="B146">
        <v>2</v>
      </c>
      <c r="C146" t="s">
        <v>64</v>
      </c>
      <c r="D146">
        <f t="shared" si="21"/>
        <v>9</v>
      </c>
      <c r="E146" t="s">
        <v>105</v>
      </c>
      <c r="F146">
        <v>0</v>
      </c>
      <c r="G146" t="s">
        <v>106</v>
      </c>
    </row>
    <row r="147" spans="1:7" x14ac:dyDescent="0.25">
      <c r="A147">
        <f t="shared" si="18"/>
        <v>402</v>
      </c>
      <c r="B147">
        <v>2</v>
      </c>
      <c r="C147" t="s">
        <v>64</v>
      </c>
      <c r="D147">
        <f t="shared" si="21"/>
        <v>9</v>
      </c>
      <c r="E147" t="s">
        <v>107</v>
      </c>
      <c r="F147">
        <v>0</v>
      </c>
      <c r="G147" t="s">
        <v>108</v>
      </c>
    </row>
    <row r="148" spans="1:7" x14ac:dyDescent="0.25">
      <c r="A148">
        <f t="shared" si="18"/>
        <v>404</v>
      </c>
      <c r="B148">
        <v>4</v>
      </c>
      <c r="C148" t="s">
        <v>16</v>
      </c>
      <c r="D148">
        <f t="shared" si="21"/>
        <v>9</v>
      </c>
      <c r="E148" t="s">
        <v>109</v>
      </c>
      <c r="F148">
        <v>0</v>
      </c>
      <c r="G148" t="s">
        <v>110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90549-879C-4772-A90D-542E0C5D4232}">
  <dimension ref="A1"/>
  <sheetViews>
    <sheetView workbookViewId="0">
      <selection activeCell="B9" sqref="B9"/>
    </sheetView>
  </sheetViews>
  <sheetFormatPr defaultRowHeight="14.8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PATCH_SETTINGS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Gruman, Baruch</dc:creator>
  <cp:keywords/>
  <dc:description/>
  <cp:lastModifiedBy>Unger, Amir</cp:lastModifiedBy>
  <cp:revision/>
  <dcterms:created xsi:type="dcterms:W3CDTF">2015-06-05T18:19:34Z</dcterms:created>
  <dcterms:modified xsi:type="dcterms:W3CDTF">2025-02-13T07:17:20Z</dcterms:modified>
  <cp:category/>
  <cp:contentStatus/>
</cp:coreProperties>
</file>